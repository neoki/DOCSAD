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filterPrivacy="1" defaultThemeVersion="124226"/>
  <xr:revisionPtr revIDLastSave="0" documentId="8_{E7440A4A-46F3-40F7-964C-BE08C82E7567}" xr6:coauthVersionLast="47" xr6:coauthVersionMax="47" xr10:uidLastSave="{00000000-0000-0000-0000-000000000000}"/>
  <bookViews>
    <workbookView xWindow="-120" yWindow="-120" windowWidth="29040" windowHeight="15990" xr2:uid="{69B6A08D-4EA4-4EF8-A245-26100A3923A9}"/>
  </bookViews>
  <sheets>
    <sheet name="Hoja1" sheetId="1" r:id="rId1"/>
  </sheets>
  <definedNames>
    <definedName name="_xlnm._FilterDatabase" localSheetId="0" hidden="1">Hoja1!$A$1:$AD$158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1" i="1" l="1"/>
  <c r="G76" i="1"/>
  <c r="G72" i="1"/>
  <c r="G70" i="1"/>
  <c r="P75" i="1"/>
  <c r="P74" i="1"/>
  <c r="P73" i="1"/>
  <c r="P20" i="1"/>
  <c r="P19" i="1"/>
  <c r="Q2" i="1"/>
  <c r="Q79" i="1"/>
  <c r="Q3" i="1"/>
  <c r="Q80" i="1"/>
  <c r="Q81" i="1"/>
  <c r="Q82" i="1"/>
  <c r="Q83" i="1"/>
  <c r="Q4" i="1"/>
  <c r="Q5" i="1"/>
  <c r="Q6" i="1"/>
  <c r="Q84" i="1"/>
  <c r="Q85" i="1"/>
  <c r="Q86" i="1"/>
  <c r="Q7" i="1"/>
  <c r="Q32" i="1"/>
  <c r="Q8" i="1"/>
  <c r="Q87" i="1"/>
  <c r="Q88" i="1"/>
  <c r="Q9" i="1"/>
  <c r="Q89" i="1"/>
  <c r="Q10" i="1"/>
  <c r="Q90" i="1"/>
  <c r="Q91" i="1"/>
  <c r="Q12" i="1"/>
  <c r="Q13" i="1"/>
  <c r="Q63" i="1"/>
  <c r="Q14" i="1"/>
  <c r="Q92" i="1"/>
  <c r="Q93" i="1"/>
  <c r="Q11" i="1"/>
  <c r="Q94" i="1"/>
  <c r="Q64" i="1"/>
  <c r="Q95" i="1"/>
  <c r="Q65" i="1"/>
  <c r="Q15" i="1"/>
  <c r="Q66" i="1"/>
  <c r="Q67" i="1"/>
  <c r="Q16" i="1"/>
  <c r="Q96" i="1"/>
  <c r="Q17" i="1"/>
  <c r="Q97" i="1"/>
  <c r="Q18" i="1"/>
  <c r="Q98" i="1"/>
  <c r="Q19" i="1"/>
  <c r="Q20" i="1"/>
  <c r="Q99" i="1"/>
  <c r="Q100" i="1"/>
  <c r="Q101" i="1"/>
  <c r="Q21" i="1"/>
  <c r="Q68" i="1"/>
  <c r="Q22" i="1"/>
  <c r="Q103" i="1"/>
  <c r="Q23" i="1"/>
  <c r="Q104" i="1"/>
  <c r="Q105" i="1"/>
  <c r="Q24" i="1"/>
  <c r="Q25" i="1"/>
  <c r="Q26" i="1"/>
  <c r="Q69" i="1"/>
  <c r="Q106" i="1"/>
  <c r="Q27" i="1"/>
  <c r="Q28" i="1"/>
  <c r="Q107" i="1"/>
  <c r="Q29" i="1"/>
  <c r="Q30" i="1"/>
  <c r="Q31" i="1"/>
  <c r="Q71" i="1"/>
  <c r="Q108" i="1"/>
  <c r="Q33" i="1"/>
  <c r="Q34" i="1"/>
  <c r="Q35" i="1"/>
  <c r="Q36" i="1"/>
  <c r="Q109" i="1"/>
  <c r="Q37" i="1"/>
  <c r="Q38" i="1"/>
  <c r="Q110" i="1"/>
  <c r="Q111" i="1"/>
  <c r="Q39" i="1"/>
  <c r="Q112" i="1"/>
  <c r="Q73" i="1"/>
  <c r="Q40" i="1"/>
  <c r="Q113" i="1"/>
  <c r="Q41" i="1"/>
  <c r="Q114" i="1"/>
  <c r="Q42" i="1"/>
  <c r="Q115" i="1"/>
  <c r="Q116" i="1"/>
  <c r="Q43" i="1"/>
  <c r="Q117" i="1"/>
  <c r="Q44" i="1"/>
  <c r="Q118" i="1"/>
  <c r="Q45" i="1"/>
  <c r="Q119" i="1"/>
  <c r="Q120" i="1"/>
  <c r="Q121" i="1"/>
  <c r="Q46" i="1"/>
  <c r="Q122" i="1"/>
  <c r="Q123" i="1"/>
  <c r="Q47" i="1"/>
  <c r="Q124" i="1"/>
  <c r="Q48" i="1"/>
  <c r="Q49" i="1"/>
  <c r="Q50" i="1"/>
  <c r="Q74" i="1"/>
  <c r="Q125" i="1"/>
  <c r="Q126" i="1"/>
  <c r="Q127" i="1"/>
  <c r="Q128" i="1"/>
  <c r="Q51" i="1"/>
  <c r="Q52" i="1"/>
  <c r="Q53" i="1"/>
  <c r="Q129" i="1"/>
  <c r="Q130" i="1"/>
  <c r="Q132" i="1"/>
  <c r="Q133" i="1"/>
  <c r="Q134" i="1"/>
  <c r="Q54" i="1"/>
  <c r="Q55" i="1"/>
  <c r="Q135" i="1"/>
  <c r="Q136" i="1"/>
  <c r="Q56" i="1"/>
  <c r="Q57" i="1"/>
  <c r="Q137" i="1"/>
  <c r="Q138" i="1"/>
  <c r="Q139" i="1"/>
  <c r="Q140" i="1"/>
  <c r="Q141" i="1"/>
  <c r="Q75" i="1"/>
  <c r="Q142" i="1"/>
  <c r="Q143" i="1"/>
  <c r="Q144" i="1"/>
  <c r="Q145" i="1"/>
  <c r="Q58" i="1"/>
  <c r="Q146" i="1"/>
  <c r="Q77" i="1"/>
  <c r="Q78" i="1"/>
  <c r="Q147" i="1"/>
  <c r="Q148" i="1"/>
  <c r="Q149" i="1"/>
  <c r="Q150" i="1"/>
  <c r="Q59" i="1"/>
  <c r="Q60" i="1"/>
  <c r="Q61" i="1"/>
  <c r="Q62" i="1"/>
  <c r="Q102" i="1"/>
  <c r="G74" i="1"/>
  <c r="G19" i="1"/>
  <c r="G20" i="1"/>
  <c r="G73" i="1"/>
  <c r="G75" i="1"/>
  <c r="G140" i="1"/>
  <c r="G51" i="1"/>
  <c r="G33" i="1"/>
  <c r="G85" i="1"/>
  <c r="G88" i="1"/>
  <c r="G15" i="1"/>
  <c r="G81" i="1"/>
  <c r="G125" i="1"/>
  <c r="G3" i="1"/>
  <c r="G96" i="1"/>
  <c r="G60" i="1"/>
  <c r="G55" i="1"/>
  <c r="G31" i="1"/>
  <c r="G82" i="1"/>
  <c r="G117" i="1"/>
  <c r="G24" i="1"/>
  <c r="G44" i="1"/>
  <c r="G108" i="1"/>
  <c r="G54" i="1"/>
  <c r="G32" i="1"/>
  <c r="G145" i="1"/>
  <c r="G104" i="1"/>
  <c r="G26" i="1"/>
  <c r="G90" i="1"/>
  <c r="G53" i="1"/>
  <c r="G27" i="1"/>
  <c r="G43" i="1"/>
  <c r="G37" i="1"/>
  <c r="G123" i="1"/>
  <c r="G109" i="1"/>
  <c r="G4" i="1"/>
  <c r="G143" i="1"/>
  <c r="G129" i="1"/>
  <c r="G89" i="1"/>
  <c r="G2" i="1"/>
  <c r="G114" i="1"/>
  <c r="G64" i="1"/>
  <c r="G84" i="1"/>
  <c r="G41" i="1"/>
  <c r="G49" i="1"/>
  <c r="G107" i="1"/>
  <c r="G34" i="1"/>
  <c r="G18" i="1"/>
  <c r="G83" i="1"/>
  <c r="G40" i="1"/>
  <c r="G86" i="1"/>
  <c r="G95" i="1"/>
  <c r="G121" i="1"/>
  <c r="G5" i="1"/>
  <c r="G12" i="1"/>
  <c r="G106" i="1"/>
  <c r="G79" i="1"/>
  <c r="G137" i="1"/>
  <c r="G92" i="1"/>
  <c r="G135" i="1"/>
  <c r="G103" i="1"/>
  <c r="G124" i="1"/>
  <c r="G59" i="1"/>
  <c r="G87" i="1"/>
  <c r="G45" i="1"/>
  <c r="G112" i="1"/>
  <c r="G149" i="1"/>
  <c r="G48" i="1"/>
  <c r="G120" i="1"/>
  <c r="G23" i="1"/>
  <c r="G58" i="1"/>
  <c r="G134" i="1"/>
  <c r="G131" i="1"/>
  <c r="G101" i="1"/>
  <c r="G100" i="1"/>
  <c r="G93" i="1"/>
  <c r="G94" i="1"/>
  <c r="G25" i="1"/>
  <c r="G116" i="1"/>
  <c r="G52" i="1"/>
  <c r="G21" i="1"/>
  <c r="G30" i="1"/>
  <c r="G35" i="1"/>
  <c r="G65" i="1"/>
  <c r="G139" i="1"/>
  <c r="G42" i="1"/>
  <c r="G111" i="1"/>
  <c r="G147" i="1"/>
  <c r="G50" i="1"/>
  <c r="G80" i="1"/>
  <c r="G132" i="1"/>
  <c r="G105" i="1"/>
  <c r="G130" i="1"/>
  <c r="G128" i="1"/>
  <c r="G91" i="1"/>
  <c r="G102" i="1"/>
  <c r="G61" i="1"/>
  <c r="G113" i="1"/>
  <c r="G142" i="1"/>
  <c r="G118" i="1"/>
  <c r="G136" i="1"/>
  <c r="G62" i="1"/>
  <c r="G133" i="1"/>
  <c r="G77" i="1"/>
  <c r="G13" i="1"/>
  <c r="G150" i="1"/>
  <c r="G69" i="1"/>
  <c r="G39" i="1"/>
  <c r="G38" i="1"/>
  <c r="G110" i="1"/>
  <c r="G7" i="1"/>
  <c r="G98" i="1"/>
  <c r="G14" i="1"/>
  <c r="G122" i="1"/>
  <c r="G66" i="1"/>
  <c r="G148" i="1"/>
  <c r="G138" i="1"/>
  <c r="G36" i="1"/>
  <c r="G47" i="1"/>
  <c r="G71" i="1"/>
  <c r="G9" i="1"/>
  <c r="G97" i="1"/>
  <c r="G141" i="1"/>
  <c r="G115" i="1"/>
  <c r="G57" i="1"/>
  <c r="G46" i="1"/>
  <c r="G10" i="1"/>
  <c r="G8" i="1"/>
  <c r="G56" i="1"/>
  <c r="G6" i="1"/>
  <c r="G68" i="1"/>
  <c r="G22" i="1"/>
  <c r="G17" i="1"/>
  <c r="G99" i="1"/>
  <c r="G28" i="1"/>
  <c r="G146" i="1"/>
  <c r="G29" i="1"/>
  <c r="G16" i="1"/>
  <c r="G67" i="1"/>
  <c r="G11" i="1"/>
  <c r="G126" i="1"/>
  <c r="G63" i="1"/>
</calcChain>
</file>

<file path=xl/sharedStrings.xml><?xml version="1.0" encoding="utf-8"?>
<sst xmlns="http://schemas.openxmlformats.org/spreadsheetml/2006/main" count="1518" uniqueCount="555">
  <si>
    <t>Razón Social.</t>
  </si>
  <si>
    <t>Número id de la CP</t>
  </si>
  <si>
    <t>CIF.</t>
  </si>
  <si>
    <t>Dirección.</t>
  </si>
  <si>
    <t>Compañía Aseguradora.</t>
  </si>
  <si>
    <t>Nº de Póliza.</t>
  </si>
  <si>
    <t>CARTERA O PÓLIZA CON TERCEROS</t>
  </si>
  <si>
    <t>Fecha de vencimiento (SOLO PÓLIZAS EN OTRAS CORREDURÍAS)</t>
  </si>
  <si>
    <t>¿CLIENTE DE FINCAS?</t>
  </si>
  <si>
    <t>SE LE FACTURA (NATALIA)</t>
  </si>
  <si>
    <t>MANTENIMIENTO CONTROLADO (ELENA)</t>
  </si>
  <si>
    <t>PORTERO/CONSERJE</t>
  </si>
  <si>
    <t>VIDEOVIGILANCIA</t>
  </si>
  <si>
    <t>ARRENDADOR</t>
  </si>
  <si>
    <t>Periodicidad cuota recurrente</t>
  </si>
  <si>
    <t>Importe cuota recurrente</t>
  </si>
  <si>
    <t>Importe anualizado cuota recurrente</t>
  </si>
  <si>
    <t>Material y fotocopias</t>
  </si>
  <si>
    <t>Permisos descarga gasóleo</t>
  </si>
  <si>
    <t>Arrendamientos</t>
  </si>
  <si>
    <t>Si se han reformado TUBERÍAS indicar año</t>
  </si>
  <si>
    <t>Si se han reformado bajantes indicar año</t>
  </si>
  <si>
    <t>Si se ha reformado fachada indicar año</t>
  </si>
  <si>
    <t>Si se ha reformado cubierta indicar año</t>
  </si>
  <si>
    <t>CLARA: AGREGADOR</t>
  </si>
  <si>
    <t>DOLO: BALANCE CUADRADO</t>
  </si>
  <si>
    <t>DOLO: ¿SE LE HACEN CONSUMOS?</t>
  </si>
  <si>
    <t>APLICACIÓN TU COMUNIDAD</t>
  </si>
  <si>
    <t>DOCUMENTACIÓN ESCANEADA Y ORDENADA</t>
  </si>
  <si>
    <t>BEA (GESINEDI)</t>
  </si>
  <si>
    <t>COMUNIDAD DE USUARIOS DEL APARCAMIENTO DE LA PLAZA DE VIGO</t>
  </si>
  <si>
    <t>H15512767</t>
  </si>
  <si>
    <t>APARCAMIENTO DE LA PLAZA DE VIGO</t>
  </si>
  <si>
    <t>GENERALI</t>
  </si>
  <si>
    <t>G3P150000950</t>
  </si>
  <si>
    <t>SÍ</t>
  </si>
  <si>
    <t>Sí</t>
  </si>
  <si>
    <t>Trimestral</t>
  </si>
  <si>
    <t>No</t>
  </si>
  <si>
    <t>CP ALCALDE PUGA Y PARGA 5 - 6 - 7</t>
  </si>
  <si>
    <t>H15661408</t>
  </si>
  <si>
    <t>c/ ALCALDE PUGA Y PARGA 5 - 6 - 7</t>
  </si>
  <si>
    <t>EXTERNA</t>
  </si>
  <si>
    <t>CP ALFREDO VICENTI 17 - 19</t>
  </si>
  <si>
    <t>H15097165</t>
  </si>
  <si>
    <t>c/ ALFREDO VICENTI 17 - 19</t>
  </si>
  <si>
    <t>CONSERJERÍA</t>
  </si>
  <si>
    <t>SI</t>
  </si>
  <si>
    <t>CP ALFREDO VICENTI 40</t>
  </si>
  <si>
    <t>H70201538</t>
  </si>
  <si>
    <t>c/ ALFREDO VICENTI 40</t>
  </si>
  <si>
    <t xml:space="preserve">G6E150001167
</t>
  </si>
  <si>
    <t>CP ANTON VILAR PONTE 7</t>
  </si>
  <si>
    <t>H70229026</t>
  </si>
  <si>
    <t>c/ ANTÓN VILAR PONTE, 7</t>
  </si>
  <si>
    <t xml:space="preserve">15E373000114
</t>
  </si>
  <si>
    <t>CP CABANA 5 - 9</t>
  </si>
  <si>
    <t>H15470867</t>
  </si>
  <si>
    <t>c/ CABANA 5 - 9</t>
  </si>
  <si>
    <t>Mapfre</t>
  </si>
  <si>
    <t>CP CALVO SOTELO 19</t>
  </si>
  <si>
    <t>H15084817</t>
  </si>
  <si>
    <t>Avda. CALVO SOTELO, 19</t>
  </si>
  <si>
    <t>CP CANTÓN PEQUEÑO 29</t>
  </si>
  <si>
    <t>H15320641</t>
  </si>
  <si>
    <t>CANTÓN PEQUEÑO, 29</t>
  </si>
  <si>
    <t>CP CARACAS 18 - 30 (GARAJE)</t>
  </si>
  <si>
    <t>H15513013</t>
  </si>
  <si>
    <t>c/ CARACAS 18 - 30 - MEICENDE (ARTEIXO)</t>
  </si>
  <si>
    <t>CP CHARLES DARWIN 15</t>
  </si>
  <si>
    <t>H15509599</t>
  </si>
  <si>
    <t>c/ DARWIN, 15 (OLEIROS)</t>
  </si>
  <si>
    <t>Allianz</t>
  </si>
  <si>
    <t>PORTERÍA</t>
  </si>
  <si>
    <t>CP CHILE 19-23-25-27</t>
  </si>
  <si>
    <t>H15166317</t>
  </si>
  <si>
    <t>Avda. CHILE 19-23-25-27</t>
  </si>
  <si>
    <t>Mutua de Propietarios</t>
  </si>
  <si>
    <t>CP CIUDAD DE LUGO 31-33</t>
  </si>
  <si>
    <t>H15155286</t>
  </si>
  <si>
    <t>c/ CIUDAD DE LUGO 31-33</t>
  </si>
  <si>
    <t>CP CONCEPCION ARENAL 2 - 4</t>
  </si>
  <si>
    <t>H15088008</t>
  </si>
  <si>
    <t>c/ CONCEPCION ARENAL,  2 - 4</t>
  </si>
  <si>
    <t>CP EDIFICIO GALERA GARAJES</t>
  </si>
  <si>
    <t>H15378037</t>
  </si>
  <si>
    <t>c/ SAN ANDRES 23-25 y GALERA 32-34-40-40BIS</t>
  </si>
  <si>
    <t>CP EJERCITO 12 - 14 - 16</t>
  </si>
  <si>
    <t>H15401615</t>
  </si>
  <si>
    <t>Avda. EJÉRCITO, 12 - 14 - 16</t>
  </si>
  <si>
    <t>076-2400005657</t>
  </si>
  <si>
    <t>CP EMILIA PARDO BAZAN 20</t>
  </si>
  <si>
    <t>H15085830</t>
  </si>
  <si>
    <t>c/ EMILIA PARDO BAZÁN, 20</t>
  </si>
  <si>
    <t>CP EMILIA PARDO BAZAN 40</t>
  </si>
  <si>
    <t>H15803083</t>
  </si>
  <si>
    <t>c/ EMILIA PARDO BAZAN, 40</t>
  </si>
  <si>
    <t>CP EMILIO GONZÁLEZ 62</t>
  </si>
  <si>
    <t>H15847072</t>
  </si>
  <si>
    <t>c/ EMILIO GONZÁLEZ, 62</t>
  </si>
  <si>
    <t>Mensual</t>
  </si>
  <si>
    <t>CP EMILIO GONZÁLEZ 64</t>
  </si>
  <si>
    <t>H15827215</t>
  </si>
  <si>
    <t>c/ EMILIO GONZÁLEZ, 64</t>
  </si>
  <si>
    <t>CP ETIOPIA 4 - 6 (OLEIROS)</t>
  </si>
  <si>
    <t>H15889652</t>
  </si>
  <si>
    <t>c/ ETIOPIA 4 - 6 (OLEIROS)</t>
  </si>
  <si>
    <t>CP FEDERICO TAPIA 20</t>
  </si>
  <si>
    <t>H15315229</t>
  </si>
  <si>
    <t>c/ FEDERICO TAPIA, 20</t>
  </si>
  <si>
    <t>CP FERNANDEZ LATORRE 5 - 9</t>
  </si>
  <si>
    <t>H15637770</t>
  </si>
  <si>
    <t xml:space="preserve">Avda. FERNANDEZ LATORRE 5 - 9 </t>
  </si>
  <si>
    <t>CP FERNANDO GONZALEZ 7 - 9</t>
  </si>
  <si>
    <t>H15342967</t>
  </si>
  <si>
    <t>c/ FERNANDO GONZALEZ 7 - 9</t>
  </si>
  <si>
    <t>ANTENA - CHIMENEA</t>
  </si>
  <si>
    <t>CP FERNANDO MACIAS 3 - 5</t>
  </si>
  <si>
    <t>H15238165</t>
  </si>
  <si>
    <t xml:space="preserve">c/ FERNANDO MACÍAS 3 - 5 </t>
  </si>
  <si>
    <t>CP FERROL 10</t>
  </si>
  <si>
    <t>H15898380</t>
  </si>
  <si>
    <t>c/ FERROL 10</t>
  </si>
  <si>
    <t>CP FONTAN 1</t>
  </si>
  <si>
    <t>H15160559</t>
  </si>
  <si>
    <t>c/ FONTAN 1</t>
  </si>
  <si>
    <t>G5E150000550</t>
  </si>
  <si>
    <t xml:space="preserve">CP FRATERNIDAD 1 - 3 </t>
  </si>
  <si>
    <t>H70215991</t>
  </si>
  <si>
    <t xml:space="preserve">c/ FRATERNIDAD, 1 - 3 </t>
  </si>
  <si>
    <t>CP GALERA 51</t>
  </si>
  <si>
    <t>H70314034</t>
  </si>
  <si>
    <t>c/ GALERA, 51</t>
  </si>
  <si>
    <t xml:space="preserve">076-1280093933 </t>
  </si>
  <si>
    <t>CP GARAJES ETIOPIA 4 - 6 - 8 (OLEIROS)</t>
  </si>
  <si>
    <t>H15867211</t>
  </si>
  <si>
    <t>c/ ETIOPIA 4 - 6 - 8 (OLEIROS)</t>
  </si>
  <si>
    <t xml:space="preserve">076-1180121570 </t>
  </si>
  <si>
    <t>CP HUERTAS 1 - 3</t>
  </si>
  <si>
    <t>H15310022</t>
  </si>
  <si>
    <t>c/ HUERTAS 1 - 3</t>
  </si>
  <si>
    <t>CP JUAN FLOREZ 80 - 82 ENRIQUE DEQUIT 13 - 15</t>
  </si>
  <si>
    <t>H15287675</t>
  </si>
  <si>
    <t>c/ JUAN FLOREZ 80-82 ENRIQUE DEQUIT 13-15</t>
  </si>
  <si>
    <t>Viviendas 510047491 (tuberías comunitarias) - Oficinas 510047493</t>
  </si>
  <si>
    <t>CP JUANA DE VEGA 6</t>
  </si>
  <si>
    <t>H15324825</t>
  </si>
  <si>
    <t xml:space="preserve">c/ JUANA DE VEGA, 6 </t>
  </si>
  <si>
    <t>CP LINARES RIVAS 1- 2-3</t>
  </si>
  <si>
    <t>H15671738</t>
  </si>
  <si>
    <t>Avda. LINARES RIVAS, 1 - 2 - 3</t>
  </si>
  <si>
    <t>CP LINARES RIVAS 10 - 11</t>
  </si>
  <si>
    <t>H15088024</t>
  </si>
  <si>
    <t>Avda. LINARES RIVAS 10 - 11</t>
  </si>
  <si>
    <t>CP LINARES RIVAS 12 - 14</t>
  </si>
  <si>
    <t>H15086200</t>
  </si>
  <si>
    <t>Avda. LINARES RIVAS 12-14</t>
  </si>
  <si>
    <t>CP LINARES RIVAS 27</t>
  </si>
  <si>
    <t>H15105901</t>
  </si>
  <si>
    <t xml:space="preserve">Avda. LINARES RIVAS 27 </t>
  </si>
  <si>
    <t>510002703 - Vivienda portero en Mapfre: 0730980162938</t>
  </si>
  <si>
    <t>CP LINARES RIVAS 28 -32</t>
  </si>
  <si>
    <t>H15068182</t>
  </si>
  <si>
    <t>Avda. LINARES RIVAS 28 - 32</t>
  </si>
  <si>
    <t xml:space="preserve">R.C.: 096-0970029259. Póliza Comunidad Nº: 072-0970028961. </t>
  </si>
  <si>
    <t>PORTERÍA - GARAJISTA</t>
  </si>
  <si>
    <t>CP MAESTRANZA 28</t>
  </si>
  <si>
    <t>H15277486</t>
  </si>
  <si>
    <t>c/ MAESTRANZA, 28</t>
  </si>
  <si>
    <t>CP MANUEL AZAÑA 54 - 56 - 58</t>
  </si>
  <si>
    <t>H15658230</t>
  </si>
  <si>
    <t>c/ MANUEL AZAÑA 54 - 56 -58</t>
  </si>
  <si>
    <t>076-1680202044</t>
  </si>
  <si>
    <t>CP MARCIAL DEL ADALID 1 (GARAJES)</t>
  </si>
  <si>
    <t>H70382098</t>
  </si>
  <si>
    <t>c/ MARCIAL DEL ADALID, 1</t>
  </si>
  <si>
    <t>G53150000520</t>
  </si>
  <si>
    <t>CP MARIA PITA 24</t>
  </si>
  <si>
    <t>H15591597</t>
  </si>
  <si>
    <t>Plaza MARIA PITA 24</t>
  </si>
  <si>
    <t>G5E150000509</t>
  </si>
  <si>
    <t>CP MERCED 75</t>
  </si>
  <si>
    <t>H15363161</t>
  </si>
  <si>
    <t>c/ MERCED, 75</t>
  </si>
  <si>
    <t>CP MIRADOR DE EIRIS</t>
  </si>
  <si>
    <t>H70248760</t>
  </si>
  <si>
    <t>c/ FERRER, 18</t>
  </si>
  <si>
    <t>CP NICARAGUA 12</t>
  </si>
  <si>
    <t>H15107170</t>
  </si>
  <si>
    <t>c/ NICARAGUA, 12</t>
  </si>
  <si>
    <t>G6E150000789</t>
  </si>
  <si>
    <t xml:space="preserve">CP OZA 86 </t>
  </si>
  <si>
    <t>H70053699</t>
  </si>
  <si>
    <t>c/ OZA 86</t>
  </si>
  <si>
    <t>NO</t>
  </si>
  <si>
    <t>CP PASCUAL VEIGA 32</t>
  </si>
  <si>
    <t>H15520810</t>
  </si>
  <si>
    <t>c/ PASCUAL VEIGA, 32</t>
  </si>
  <si>
    <t>G6E150001667</t>
  </si>
  <si>
    <t>CP PASEO DE LOS PUENTES 4</t>
  </si>
  <si>
    <t>H15354467</t>
  </si>
  <si>
    <t>c/ PASEO DE LOS PUENTES 4</t>
  </si>
  <si>
    <t>5EG150000095</t>
  </si>
  <si>
    <t>ANTENA</t>
  </si>
  <si>
    <t>CP PASEO MARITIMO 1</t>
  </si>
  <si>
    <t>H15257520</t>
  </si>
  <si>
    <t>PASEO MARITIMO 1</t>
  </si>
  <si>
    <t>G5E150000533</t>
  </si>
  <si>
    <t>CP PASTEUR 11 - 13</t>
  </si>
  <si>
    <t>H15154933</t>
  </si>
  <si>
    <t>c/ PASTEUR, 11 - 13</t>
  </si>
  <si>
    <t>CP PLAZA DE ORENSE 10</t>
  </si>
  <si>
    <t>H15462989</t>
  </si>
  <si>
    <t>PLAZA DE ORENSE 10</t>
  </si>
  <si>
    <t>CP PLAZA ORENSE 7 - 8 Y FEDERICO TAPIA 9</t>
  </si>
  <si>
    <t>H15377005</t>
  </si>
  <si>
    <t>PLAZA ORENSE 7 - 8 Y c/ FEDERICO TAPIA 9</t>
  </si>
  <si>
    <t>CP PRIMO DE RIVERA 1</t>
  </si>
  <si>
    <t>H15087950</t>
  </si>
  <si>
    <t>Avda. PRIMO DE RIVERA, 1</t>
  </si>
  <si>
    <t>510038371 - Vivienda portero (23º) con Mapfre: 0731980145244</t>
  </si>
  <si>
    <t>CP RAMON DE LA SAGRA 6 - 8</t>
  </si>
  <si>
    <t>H15327166</t>
  </si>
  <si>
    <t>c/ RAMÓN DE LA SAGRA 6 - 8</t>
  </si>
  <si>
    <t>CP RAMON Y CAJAL 1 - 3 y EJERCITO 2</t>
  </si>
  <si>
    <t>H15109663</t>
  </si>
  <si>
    <t>c/ RAMON Y CAJAL 1 - 3 y Avda. EJERCITO 2</t>
  </si>
  <si>
    <t>CP REAL 29</t>
  </si>
  <si>
    <t>H15629587</t>
  </si>
  <si>
    <t>c/ REAL 29</t>
  </si>
  <si>
    <t>CP REAL 85</t>
  </si>
  <si>
    <t>H15293194</t>
  </si>
  <si>
    <t>c/ REAL 85</t>
  </si>
  <si>
    <t xml:space="preserve">No </t>
  </si>
  <si>
    <t>CP SANCHEZ BREGUA 8 y PICAVIA 8</t>
  </si>
  <si>
    <t>H15375744</t>
  </si>
  <si>
    <t>c/ SANCHEZ BREGUA 8 y c/ PICAVIA 8</t>
  </si>
  <si>
    <t>LETRERO</t>
  </si>
  <si>
    <t>CP ZONA DEPORTIVA PRIVADA URBANUZACIÓN ICARIA II E ICARIA III (OLEIROS)</t>
  </si>
  <si>
    <t>H15795636</t>
  </si>
  <si>
    <t>Urb. Icaria II s/n (Oleiros)</t>
  </si>
  <si>
    <t>MANCOMUNIDAD ESPECIAL SERVICIOS LINARES RIVAS 43 - 44 - 46 - 47 y FEDERICO TAPIA 45 -
47 - 49</t>
  </si>
  <si>
    <t>H70332408</t>
  </si>
  <si>
    <t>c/ LINARES RIVAS 43 - 44 - 46 - 47 y FEDERICO TAPIA 45 -
47 - 49</t>
  </si>
  <si>
    <t>MANCOMUNIDAD GARAJE VIOÑO EL-4</t>
  </si>
  <si>
    <t>H70248109</t>
  </si>
  <si>
    <t>Avda. de Arteixo, 88</t>
  </si>
  <si>
    <t>GARAJISTA</t>
  </si>
  <si>
    <t>SUBCOMUNIDAD DE TRASTEROS MAESTRANZA 1</t>
  </si>
  <si>
    <t>H70611132</t>
  </si>
  <si>
    <t>c/ MAESTRANZA 1</t>
  </si>
  <si>
    <t>CP CIUDAD DE LUGO 32 - 34</t>
  </si>
  <si>
    <t>H15462047</t>
  </si>
  <si>
    <t>c/ CIUDAD DE LUGO 32 - 34</t>
  </si>
  <si>
    <t>No se lleva</t>
  </si>
  <si>
    <t>CP DURAN LORIGA 11</t>
  </si>
  <si>
    <t>H15087935</t>
  </si>
  <si>
    <t>c/ DURÁN LORIGA 11</t>
  </si>
  <si>
    <t xml:space="preserve">CP EDIFICIO ARCO - FONTECULLER </t>
  </si>
  <si>
    <t>H15520976</t>
  </si>
  <si>
    <t>NO ADMINISTRAMOS LA COMUNIDAD</t>
  </si>
  <si>
    <t>MAPFRE</t>
  </si>
  <si>
    <t>076-0980429462</t>
  </si>
  <si>
    <t>BAJA 2025</t>
  </si>
  <si>
    <t>CP EDIFICIO LA GALERA</t>
  </si>
  <si>
    <t>H15495542</t>
  </si>
  <si>
    <t>CP EDIFICIO LAS NIEVES</t>
  </si>
  <si>
    <t>H15363484</t>
  </si>
  <si>
    <t>c/ DURÁN LORIGA, 2 - 4 - 6 y PLAZA SANTA CATALINA, 11</t>
  </si>
  <si>
    <t>CP ETIOPIA 8 (OLEIROS)</t>
  </si>
  <si>
    <t>H15889645</t>
  </si>
  <si>
    <t>c/ ETIOPÍA, 8 (OLEIROS)</t>
  </si>
  <si>
    <t>CP FINISTERRE 22</t>
  </si>
  <si>
    <t>H15996432</t>
  </si>
  <si>
    <t>Avda. FINISTERRE 22</t>
  </si>
  <si>
    <t>CP HÉRCULES 83</t>
  </si>
  <si>
    <t>H15261480</t>
  </si>
  <si>
    <t>CP JUAN FLÓREZ 64 - 66</t>
  </si>
  <si>
    <t>H15139744</t>
  </si>
  <si>
    <t>baja comunidad no seguro</t>
  </si>
  <si>
    <t>G6E150001200</t>
  </si>
  <si>
    <t>BAJA</t>
  </si>
  <si>
    <t xml:space="preserve">CP LINARES RIVAS 26 </t>
  </si>
  <si>
    <t>E15085731</t>
  </si>
  <si>
    <t>CP MANUEL AZAÑA 12</t>
  </si>
  <si>
    <t>H15728330</t>
  </si>
  <si>
    <t>c/ MANUEL AZAÑA, 12</t>
  </si>
  <si>
    <t>CP PERÚ 2</t>
  </si>
  <si>
    <t>H15574700</t>
  </si>
  <si>
    <t>c/ PERÚ, 2</t>
  </si>
  <si>
    <t>CP RONDA DE OUTEIRO 423</t>
  </si>
  <si>
    <t>H15640394</t>
  </si>
  <si>
    <t>c/ RONDA DE OUTEIRO, 423</t>
  </si>
  <si>
    <t>CP SAN ANDRES 125</t>
  </si>
  <si>
    <t>H15295058</t>
  </si>
  <si>
    <t>CP SINFONICA DE GALICIA, 21</t>
  </si>
  <si>
    <t>H02773513</t>
  </si>
  <si>
    <t>c/ SINFÓNICA DE GALICIA, 21</t>
  </si>
  <si>
    <t>CP SOCORRO 20</t>
  </si>
  <si>
    <t>H15288798</t>
  </si>
  <si>
    <t>c/ SOCORRO, 2</t>
  </si>
  <si>
    <t>5E.G.150.000.193</t>
  </si>
  <si>
    <t>CON TERCEROS</t>
  </si>
  <si>
    <t>CP ALAMEDA 30-32 Y HUERTAS 8</t>
  </si>
  <si>
    <t>H15155336</t>
  </si>
  <si>
    <t>c/ ALAMEDA 30-32 y c/ HUERTAS 8</t>
  </si>
  <si>
    <t>5E3150000353</t>
  </si>
  <si>
    <t>CP ALFONSO MOLINA 4</t>
  </si>
  <si>
    <t>H15379662</t>
  </si>
  <si>
    <t>Avda. ALFONSO MOLINA 4</t>
  </si>
  <si>
    <t>CP ALFONSO MOLINA 5</t>
  </si>
  <si>
    <t>H15563117</t>
  </si>
  <si>
    <t>Avda. ALFONSO MOLINA, 5</t>
  </si>
  <si>
    <t>CP ALFONSO MOLINA 6</t>
  </si>
  <si>
    <t>H15438252</t>
  </si>
  <si>
    <t>Avda. ALFONSO MOLINA, 6</t>
  </si>
  <si>
    <t>G6E150000635</t>
  </si>
  <si>
    <t>CP ALFREDO VICENTI 12-14 - EDIFICIO OLIMPIA</t>
  </si>
  <si>
    <t>H15086226</t>
  </si>
  <si>
    <t>c/ ALFREDO VICENTI 12-14</t>
  </si>
  <si>
    <t>Si</t>
  </si>
  <si>
    <t>CP ARZOBISPO LAGO 8</t>
  </si>
  <si>
    <t>H15088032</t>
  </si>
  <si>
    <t>c/ ARZOBISPO LAGO, 8</t>
  </si>
  <si>
    <t>5E8150000451</t>
  </si>
  <si>
    <t>CP BUENOS AIRES 8</t>
  </si>
  <si>
    <t>H15086028</t>
  </si>
  <si>
    <t>Avda. BUENOS AIRES, 8</t>
  </si>
  <si>
    <t>BAJOS COMERCIALES</t>
  </si>
  <si>
    <t>CP CABANA 13 (CASTIÑEIRAS 32)</t>
  </si>
  <si>
    <t>H15396542</t>
  </si>
  <si>
    <t>c/ CABANA, 13</t>
  </si>
  <si>
    <t>CP CALVO SOTELO 21</t>
  </si>
  <si>
    <t>H15108517</t>
  </si>
  <si>
    <t>Avda. CALVO SOTELO, 21</t>
  </si>
  <si>
    <t>CP CANTON GRANDE 5 (EDIFICIO GRANADA)</t>
  </si>
  <si>
    <t>H15088040</t>
  </si>
  <si>
    <t>CANTÓN GRANDE, 5</t>
  </si>
  <si>
    <t xml:space="preserve">CP CAPITAN JUAN VARELA 1 - 3 </t>
  </si>
  <si>
    <t>H15755036</t>
  </si>
  <si>
    <t xml:space="preserve">c/ CAPITAN JUAN VARELA 1 - 3 </t>
  </si>
  <si>
    <t xml:space="preserve">0762100015585
</t>
  </si>
  <si>
    <t>CP CARMEN 26</t>
  </si>
  <si>
    <t>H15802259</t>
  </si>
  <si>
    <t>c/ CARMEN, 26</t>
  </si>
  <si>
    <t>CP CASTIÑEIRAS DE ABAJO 40 - 42</t>
  </si>
  <si>
    <t>H15646391</t>
  </si>
  <si>
    <t>c/ CASTIÑEIRAS DE ABAIXO, 40 - 42</t>
  </si>
  <si>
    <t>CP CUESTA DE LA UNIÓN 28 (GOMEZ ZAMALLOA 28)</t>
  </si>
  <si>
    <t>H15274699</t>
  </si>
  <si>
    <t>c/ CUESTA DE LA UNIÓN, 28</t>
  </si>
  <si>
    <t>CP CUEVAS 5</t>
  </si>
  <si>
    <t>H15087901</t>
  </si>
  <si>
    <t>c/ Cuevas, 5</t>
  </si>
  <si>
    <t>CP DOCTOR FLEMING 15</t>
  </si>
  <si>
    <t>H15271711</t>
  </si>
  <si>
    <t>c/ DOCTOR FLEMING 15</t>
  </si>
  <si>
    <t>G5E150000648</t>
  </si>
  <si>
    <t>CP DURAN LORIGA 9</t>
  </si>
  <si>
    <t>H15325590</t>
  </si>
  <si>
    <t>c/ DURÁN LORIGA, 9</t>
  </si>
  <si>
    <t>CP EMILIA PARDO BAZAN 18</t>
  </si>
  <si>
    <t>H15374952</t>
  </si>
  <si>
    <t>c/ EMILIA PARDO BAZAN 18</t>
  </si>
  <si>
    <t>CP EMILIA PARDO BAZAN 32</t>
  </si>
  <si>
    <t>H15872278</t>
  </si>
  <si>
    <t>c/ EMILIA PARDO BAZAN 32</t>
  </si>
  <si>
    <t>G6E150002176</t>
  </si>
  <si>
    <t>CP EMILIA PARDO BAZAN 8-10</t>
  </si>
  <si>
    <t>H15257314</t>
  </si>
  <si>
    <t>c/ EMILIA PARDO BAZAN 8-10</t>
  </si>
  <si>
    <t>CP ENCICLOPEDIA FRANCESA 4</t>
  </si>
  <si>
    <t>H70215983</t>
  </si>
  <si>
    <t>c/ ENCICLOPEDIA FRANCESA, 4</t>
  </si>
  <si>
    <t>CP ENRIQUE DEQUIDT 3</t>
  </si>
  <si>
    <t>H70251681</t>
  </si>
  <si>
    <t>c/ ENRIQUE DEQUIDT 3</t>
  </si>
  <si>
    <t>CP ENRIQUE DEQUIDT 9</t>
  </si>
  <si>
    <t>H15090954</t>
  </si>
  <si>
    <t>c/ ENRIQUE DEQUIDT 9</t>
  </si>
  <si>
    <t>CP ESTANQUE 22</t>
  </si>
  <si>
    <t>H70266747</t>
  </si>
  <si>
    <t>c/ ESTANQUE, 22 - O TEMPLE</t>
  </si>
  <si>
    <t xml:space="preserve">0761780190244
</t>
  </si>
  <si>
    <t>CP FEDERICO TAPIA 33 - 35</t>
  </si>
  <si>
    <t>H15768393</t>
  </si>
  <si>
    <t>c/ FEDERICO TAPIA, 33 - 35</t>
  </si>
  <si>
    <t>CP FERNANDEZ LATORRE 52</t>
  </si>
  <si>
    <t>H15440118</t>
  </si>
  <si>
    <t>Avda. FERNANDEZ LATORRE 52</t>
  </si>
  <si>
    <t>CP FERNANDO GONZALEZ 6</t>
  </si>
  <si>
    <t>H15104060</t>
  </si>
  <si>
    <t>c/ FERNANDO GONZALEZ 6</t>
  </si>
  <si>
    <t>CP FINISTERRE 53</t>
  </si>
  <si>
    <t>H15846918</t>
  </si>
  <si>
    <t xml:space="preserve">Avda. FINISTERRE 53 </t>
  </si>
  <si>
    <t>CP GAITEIRA 33 - 35</t>
  </si>
  <si>
    <t>H70009071</t>
  </si>
  <si>
    <t>c/ GAITEIRA 33 - 35 (EDIFICIO COMERCIO)</t>
  </si>
  <si>
    <t xml:space="preserve">G6E150001710 (comercio) - G6E150001711
</t>
  </si>
  <si>
    <t>CP JUANA DE VEGA 11</t>
  </si>
  <si>
    <t>H70286604</t>
  </si>
  <si>
    <t>c/ JUANA DE VEGA, 11</t>
  </si>
  <si>
    <t>CP LINARES RIVAS 18 -21</t>
  </si>
  <si>
    <t>H15087638</t>
  </si>
  <si>
    <t>Avda. LINARES RIVAS 18 - 21</t>
  </si>
  <si>
    <t>CP LINARES RIVAS 33 - 34</t>
  </si>
  <si>
    <t>H15438211</t>
  </si>
  <si>
    <t>Avda. LINARES RIVAS 33 - 34</t>
  </si>
  <si>
    <t>CP MAESTRANZA 1</t>
  </si>
  <si>
    <t>H15767122</t>
  </si>
  <si>
    <t>CP MAGISTRADO MANUEL ARTIME 12</t>
  </si>
  <si>
    <t>H15292089</t>
  </si>
  <si>
    <t>c/ MAGISTRADO MANUEL ARTIME 12</t>
  </si>
  <si>
    <t>G5E150000039</t>
  </si>
  <si>
    <t>CP MANUEL MURGUIA 12</t>
  </si>
  <si>
    <t>H15087612</t>
  </si>
  <si>
    <t>c/ MANUEL MURGUÍA 12</t>
  </si>
  <si>
    <t>CP MARCIAL DEL ADALID 17 - 19</t>
  </si>
  <si>
    <t>H15793334</t>
  </si>
  <si>
    <t>MARCIAL DEL ADALID 17 - 19</t>
  </si>
  <si>
    <t>G3P150000687</t>
  </si>
  <si>
    <t>CP MARIA PITA 9</t>
  </si>
  <si>
    <t>H15696693</t>
  </si>
  <si>
    <t>Plaza MARIA PITA 9</t>
  </si>
  <si>
    <t>CP MENENDEZ PELAYO 20</t>
  </si>
  <si>
    <t>H15231038</t>
  </si>
  <si>
    <t>c/ MENÉNDEZ PELAYO 20</t>
  </si>
  <si>
    <t>CP MERCED 77</t>
  </si>
  <si>
    <t>H15087604</t>
  </si>
  <si>
    <t>c/ MERCED, 77</t>
  </si>
  <si>
    <t>G5E150000896</t>
  </si>
  <si>
    <t>CP MIRAMAR 2</t>
  </si>
  <si>
    <t>H70333745</t>
  </si>
  <si>
    <t>c/ MIRAMAR, 2</t>
  </si>
  <si>
    <t>CP NICARAGUA 16</t>
  </si>
  <si>
    <t>H15325889</t>
  </si>
  <si>
    <t>c/ NICARAGUA, 16</t>
  </si>
  <si>
    <t>6E-G-107.000.087</t>
  </si>
  <si>
    <t>CP NOVOA SANTOS 1-3 EJÉRCITO 8 MANUEL PIÑEIRO POSE 2</t>
  </si>
  <si>
    <t>H15084585</t>
  </si>
  <si>
    <t>c/ NOVOA SANTOS 1-3; Avda. EJÉRCITO 8; c/ MANUEL PIÑEIRO POSE 2</t>
  </si>
  <si>
    <t>CP NOVOA SANTOS 6-8</t>
  </si>
  <si>
    <t>H15170368</t>
  </si>
  <si>
    <t>c/ NOVOA SANTOS 6-8</t>
  </si>
  <si>
    <t>CP PADRE FEIJOO 11</t>
  </si>
  <si>
    <t>H15524259</t>
  </si>
  <si>
    <t>c/ PADRE FEIJOO, 11</t>
  </si>
  <si>
    <t>CP PADRE SARMIENTO 18</t>
  </si>
  <si>
    <t>H15366115</t>
  </si>
  <si>
    <t>c/ PADRE SARMIENTO 18</t>
  </si>
  <si>
    <t>CP PASEO DE LOS PUENTES 2</t>
  </si>
  <si>
    <t>H15325566</t>
  </si>
  <si>
    <t>c/ PASEO DE LOS PUENTES, 2</t>
  </si>
  <si>
    <t>5EG150000841</t>
  </si>
  <si>
    <t>CP PLA Y CANCELA 37</t>
  </si>
  <si>
    <t>H15161656</t>
  </si>
  <si>
    <t>c/ PLA Y CANCELA 37</t>
  </si>
  <si>
    <t>CP PLA Y CANCELA 37 (GARAJES)</t>
  </si>
  <si>
    <t>H15381387</t>
  </si>
  <si>
    <t>CP PLAZA DE LUGO 11</t>
  </si>
  <si>
    <t>H70155957</t>
  </si>
  <si>
    <t>PLAZA DE LUGO, 11</t>
  </si>
  <si>
    <t>EN CARTERA</t>
  </si>
  <si>
    <t>CP PLAZA DE LUGO 7 - 8</t>
  </si>
  <si>
    <t>H15605967</t>
  </si>
  <si>
    <t>PLAZA DE LUGO 7 - 9</t>
  </si>
  <si>
    <t>CP PRIMO DE RIVERA 2</t>
  </si>
  <si>
    <t>H15102866</t>
  </si>
  <si>
    <t>Avda. PRIMO DE RIVERA, 2</t>
  </si>
  <si>
    <t>Vivienda</t>
  </si>
  <si>
    <t>CP PRIMO DE RIVERA 3</t>
  </si>
  <si>
    <t>H15088081</t>
  </si>
  <si>
    <t>Avda. PRIMO DE RIVERA, 3</t>
  </si>
  <si>
    <t>CP PRINCIPE 2 - 4</t>
  </si>
  <si>
    <t>H15087653</t>
  </si>
  <si>
    <t>c/ PRINCIPE 2 - 4</t>
  </si>
  <si>
    <t>CP RAMON DE LA SAGRA 1</t>
  </si>
  <si>
    <t>H15085640</t>
  </si>
  <si>
    <t>c/ RAMÓN DE LA SAGRA, 1</t>
  </si>
  <si>
    <t>CP RAMON DE LA SAGRA 12</t>
  </si>
  <si>
    <t>H70613971</t>
  </si>
  <si>
    <t>c/ RAMÓN DE LA SAGRA, 12</t>
  </si>
  <si>
    <t>CP RAMON DE LA SAGRA 14</t>
  </si>
  <si>
    <t>H15366776</t>
  </si>
  <si>
    <t>c/ RAMÓN DE LA SAGRA 14</t>
  </si>
  <si>
    <t>CP RAMON Y CAJAL 15 - 17</t>
  </si>
  <si>
    <t>H15260771</t>
  </si>
  <si>
    <t>c/ RAMÓN Y CAJAL 15 - 17</t>
  </si>
  <si>
    <t>CP REAL  96</t>
  </si>
  <si>
    <t>H15996457</t>
  </si>
  <si>
    <t>c/ REAL  96</t>
  </si>
  <si>
    <t>CP RESIDENCIAL EL HABITAT</t>
  </si>
  <si>
    <t>H15542574</t>
  </si>
  <si>
    <t>c/ HABITAT, 1 (OLEIROS)</t>
  </si>
  <si>
    <t>G6E150000206</t>
  </si>
  <si>
    <t>CP REVOLUCION FRANCESA 7</t>
  </si>
  <si>
    <t>H70221957</t>
  </si>
  <si>
    <t>c/ REVOLUCIÓN FRANCESA, 7</t>
  </si>
  <si>
    <t>G6E150001080</t>
  </si>
  <si>
    <t>CP REY ABDULLAH 6 - 8</t>
  </si>
  <si>
    <t>H15327158</t>
  </si>
  <si>
    <t>c/ REY ABDULLAH 6 - 8</t>
  </si>
  <si>
    <t>CP RIEGO DE AGUA 31</t>
  </si>
  <si>
    <t>H15813876</t>
  </si>
  <si>
    <t>c/ RIEGO DE AGUA 31</t>
  </si>
  <si>
    <t>CP RONDA DE NELLE 30</t>
  </si>
  <si>
    <t>H15362437</t>
  </si>
  <si>
    <t>RONDA DE NELLE, 30</t>
  </si>
  <si>
    <t>CP RUA NUEVA 2</t>
  </si>
  <si>
    <t>H15327950</t>
  </si>
  <si>
    <t>c/ Rúa Nueva, 2</t>
  </si>
  <si>
    <t>CP SAN AMARO 27</t>
  </si>
  <si>
    <t>H15917461</t>
  </si>
  <si>
    <t>c/ SAN AMARO 27</t>
  </si>
  <si>
    <t>CP SAN SEBASTIAN 19</t>
  </si>
  <si>
    <t>H15965544</t>
  </si>
  <si>
    <t>c/ SAN SEBASTIAN 19</t>
  </si>
  <si>
    <t>6E-g-150000677</t>
  </si>
  <si>
    <t>CP SANCHEZ BREGUA 7</t>
  </si>
  <si>
    <t>H15085681</t>
  </si>
  <si>
    <t>c/ SANCHEZ BREGUA 7</t>
  </si>
  <si>
    <t>CP SARDIÑEIRA 25</t>
  </si>
  <si>
    <t>H70341037</t>
  </si>
  <si>
    <t>Avda. SARDIÑEIRA, 25</t>
  </si>
  <si>
    <t>G6E129000075</t>
  </si>
  <si>
    <t>CP TABERNAS 2</t>
  </si>
  <si>
    <t>H70315031</t>
  </si>
  <si>
    <t>c/ TABERNAS, 2</t>
  </si>
  <si>
    <t>CP TRABAJO 4</t>
  </si>
  <si>
    <t>H15304314</t>
  </si>
  <si>
    <t>c/ TRABAJO, 4</t>
  </si>
  <si>
    <t>G6E150000730</t>
  </si>
  <si>
    <t>CP TRAVESIA DE HUERTAS 5</t>
  </si>
  <si>
    <t>H70460688</t>
  </si>
  <si>
    <t>c/ TRAVESIA DE HUERTAS 5</t>
  </si>
  <si>
    <t>CP VARELA SILVARI 17</t>
  </si>
  <si>
    <t>H56583586</t>
  </si>
  <si>
    <t>c/ VARELA SILVARI, 17</t>
  </si>
  <si>
    <t>CP ALFREDO VICENTI 32</t>
  </si>
  <si>
    <t>H15230790</t>
  </si>
  <si>
    <t>CP BARRIE DE LA MAZA 17</t>
  </si>
  <si>
    <t>H70242425</t>
  </si>
  <si>
    <t>CP ESPACIO CORUÑA</t>
  </si>
  <si>
    <t>H21990049</t>
  </si>
  <si>
    <t>C/José Pascual López Cortón, 10</t>
  </si>
  <si>
    <t>CP GARAJE BARRIE DE LA MAZA 17-SOCORRO, 30</t>
  </si>
  <si>
    <t>H15374762</t>
  </si>
  <si>
    <t>CP MERCED 71-73</t>
  </si>
  <si>
    <t>H15517881</t>
  </si>
  <si>
    <t>CP RUA NUEVA 25</t>
  </si>
  <si>
    <t>H15505688</t>
  </si>
  <si>
    <t>CP SAN LUCAS 11</t>
  </si>
  <si>
    <t>CP TOURO 2</t>
  </si>
  <si>
    <t>H70239926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</si>
</sst>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9"/>
      <color rgb="FF000000"/>
      <name val="Calibri"/>
      <scheme val="minor"/>
    </font>
    <font>
      <sz val="11"/>
      <color rgb="FF000000"/>
      <name val="Calibri"/>
      <scheme val="minor"/>
    </font>
    <font>
      <b/>
      <sz val="9"/>
      <color rgb="FF000000"/>
      <name val="Calibri"/>
      <scheme val="minor"/>
    </font>
    <font>
      <sz val="8"/>
      <color rgb="FF000000"/>
      <name val="Calibri"/>
      <scheme val="minor"/>
    </font>
    <font>
      <sz val="11"/>
      <color rgb="FF00B05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2" fillId="5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3" fillId="3" borderId="0" xfId="0" applyNumberFormat="1" applyFont="1" applyFill="1" applyAlignment="1">
      <alignment vertical="center"/>
    </xf>
    <xf numFmtId="0" fontId="5" fillId="3" borderId="0" xfId="0" applyFont="1" applyFill="1"/>
    <xf numFmtId="1" fontId="2" fillId="3" borderId="0" xfId="0" applyNumberFormat="1" applyFont="1" applyFill="1" applyAlignment="1">
      <alignment vertical="center" wrapText="1"/>
    </xf>
    <xf numFmtId="1" fontId="5" fillId="3" borderId="0" xfId="0" applyNumberFormat="1" applyFont="1" applyFill="1"/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3" borderId="0" xfId="0" applyFont="1" applyFill="1"/>
    <xf numFmtId="1" fontId="2" fillId="3" borderId="0" xfId="0" applyNumberFormat="1" applyFont="1" applyFill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4281-CC4D-47B0-88FD-5344A720AB35}">
  <dimension ref="A1:AD161"/>
  <sheetViews>
    <sheetView tabSelected="1" zoomScale="85" zoomScaleNormal="85" workbookViewId="0">
      <pane xSplit="1" ySplit="7" topLeftCell="W42" activePane="bottomRight" state="frozen"/>
      <selection pane="bottomRight" activeCell="Z153" sqref="Z153"/>
      <selection pane="bottomLeft"/>
      <selection pane="topRight"/>
    </sheetView>
  </sheetViews>
  <sheetFormatPr defaultColWidth="26.7109375" defaultRowHeight="15"/>
  <cols>
    <col min="1" max="1" width="57.7109375" style="25" bestFit="1" customWidth="1"/>
    <col min="2" max="2" width="17.140625" style="25" bestFit="1" customWidth="1"/>
    <col min="3" max="3" width="9.140625" style="25" bestFit="1" customWidth="1"/>
    <col min="4" max="4" width="51.5703125" style="25" customWidth="1"/>
    <col min="5" max="5" width="18.85546875" style="25" customWidth="1"/>
    <col min="6" max="6" width="49.28515625" style="14" customWidth="1"/>
    <col min="7" max="8" width="18.42578125" style="25" customWidth="1"/>
    <col min="9" max="9" width="17.42578125" style="25" customWidth="1"/>
    <col min="10" max="10" width="22.28515625" style="25" customWidth="1"/>
    <col min="11" max="11" width="33.7109375" style="25" customWidth="1"/>
    <col min="12" max="12" width="22.140625" style="26" customWidth="1"/>
    <col min="13" max="13" width="19.85546875" style="26" customWidth="1"/>
    <col min="14" max="14" width="20" style="26" customWidth="1"/>
    <col min="15" max="15" width="26.7109375" style="26"/>
    <col min="16" max="16" width="26.7109375" style="27"/>
    <col min="17" max="17" width="36.7109375" style="27" customWidth="1"/>
    <col min="18" max="20" width="26.7109375" style="26"/>
    <col min="21" max="22" width="36.5703125" style="26" bestFit="1" customWidth="1"/>
    <col min="23" max="23" width="35.28515625" style="26" bestFit="1" customWidth="1"/>
    <col min="24" max="24" width="35.7109375" style="26" bestFit="1" customWidth="1"/>
    <col min="25" max="25" width="33.28515625" style="35" bestFit="1" customWidth="1"/>
    <col min="26" max="26" width="44.42578125" style="35" bestFit="1" customWidth="1"/>
    <col min="27" max="29" width="44.42578125" style="35" customWidth="1"/>
    <col min="30" max="16384" width="26.7109375" style="26"/>
  </cols>
  <sheetData>
    <row r="1" spans="1:30" s="10" customFormat="1" ht="37.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1" t="s">
        <v>14</v>
      </c>
      <c r="P1" s="12" t="s">
        <v>15</v>
      </c>
      <c r="Q1" s="12" t="s">
        <v>16</v>
      </c>
      <c r="R1" s="10" t="s">
        <v>17</v>
      </c>
      <c r="S1" s="10" t="s">
        <v>18</v>
      </c>
      <c r="T1" s="10" t="s">
        <v>19</v>
      </c>
      <c r="U1" s="31" t="s">
        <v>20</v>
      </c>
      <c r="V1" s="32" t="s">
        <v>21</v>
      </c>
      <c r="W1" s="10" t="s">
        <v>22</v>
      </c>
      <c r="X1" s="10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10" t="s">
        <v>29</v>
      </c>
    </row>
    <row r="2" spans="1:30" s="17" customFormat="1">
      <c r="A2" s="25" t="s">
        <v>30</v>
      </c>
      <c r="B2" s="25"/>
      <c r="C2" s="13" t="s">
        <v>31</v>
      </c>
      <c r="D2" s="13" t="s">
        <v>32</v>
      </c>
      <c r="E2" s="13" t="s">
        <v>33</v>
      </c>
      <c r="F2" s="14" t="s">
        <v>34</v>
      </c>
      <c r="G2" s="15" t="str">
        <f>IF(E2="EXTERNA","CON TERCEROS","EN CARTERA")</f>
        <v>EN CARTERA</v>
      </c>
      <c r="H2" s="15"/>
      <c r="I2" s="16" t="s">
        <v>35</v>
      </c>
      <c r="J2" s="13" t="s">
        <v>36</v>
      </c>
      <c r="K2" s="13"/>
      <c r="O2" s="17" t="s">
        <v>37</v>
      </c>
      <c r="P2" s="1">
        <v>511</v>
      </c>
      <c r="Q2" s="18">
        <f>IF(O2="Trimestral",P2*4,P2*12)</f>
        <v>2044</v>
      </c>
      <c r="S2" s="4"/>
      <c r="T2" s="1"/>
      <c r="U2" s="2"/>
      <c r="Y2" s="34" t="s">
        <v>38</v>
      </c>
      <c r="Z2" s="34" t="s">
        <v>38</v>
      </c>
      <c r="AA2" s="34"/>
      <c r="AB2" s="34"/>
      <c r="AC2" s="34"/>
    </row>
    <row r="3" spans="1:30" s="17" customFormat="1">
      <c r="A3" s="25" t="s">
        <v>39</v>
      </c>
      <c r="B3" s="25"/>
      <c r="C3" s="13" t="s">
        <v>40</v>
      </c>
      <c r="D3" s="13" t="s">
        <v>41</v>
      </c>
      <c r="E3" s="13" t="s">
        <v>42</v>
      </c>
      <c r="F3" s="14"/>
      <c r="G3" s="15" t="str">
        <f>IF(E3="EXTERNA","CON TERCEROS","EN CARTERA")</f>
        <v>CON TERCEROS</v>
      </c>
      <c r="H3" s="15"/>
      <c r="I3" s="16" t="s">
        <v>35</v>
      </c>
      <c r="J3" s="13" t="s">
        <v>36</v>
      </c>
      <c r="K3" s="13"/>
      <c r="O3" s="17" t="s">
        <v>37</v>
      </c>
      <c r="P3" s="1">
        <v>534</v>
      </c>
      <c r="Q3" s="18">
        <f>IF(O3="Trimestral",P3*4,P3*12)</f>
        <v>2136</v>
      </c>
      <c r="S3" s="4"/>
      <c r="T3" s="1"/>
      <c r="U3" s="2"/>
      <c r="Y3" s="34" t="s">
        <v>38</v>
      </c>
      <c r="Z3" s="34" t="s">
        <v>38</v>
      </c>
      <c r="AA3" s="34"/>
      <c r="AB3" s="34"/>
      <c r="AC3" s="34"/>
    </row>
    <row r="4" spans="1:30" s="17" customFormat="1">
      <c r="A4" s="25" t="s">
        <v>43</v>
      </c>
      <c r="B4" s="25"/>
      <c r="C4" s="13" t="s">
        <v>44</v>
      </c>
      <c r="D4" s="13" t="s">
        <v>45</v>
      </c>
      <c r="E4" s="13" t="s">
        <v>42</v>
      </c>
      <c r="F4" s="14"/>
      <c r="G4" s="15" t="str">
        <f>IF(E4="EXTERNA","CON TERCEROS","EN CARTERA")</f>
        <v>CON TERCEROS</v>
      </c>
      <c r="H4" s="15"/>
      <c r="I4" s="16" t="s">
        <v>35</v>
      </c>
      <c r="J4" s="13" t="s">
        <v>36</v>
      </c>
      <c r="K4" s="13"/>
      <c r="L4" s="17" t="s">
        <v>46</v>
      </c>
      <c r="O4" s="17" t="s">
        <v>37</v>
      </c>
      <c r="P4" s="3">
        <v>1067</v>
      </c>
      <c r="Q4" s="18">
        <f>IF(O4="Trimestral",P4*4,P4*12)</f>
        <v>4268</v>
      </c>
      <c r="S4" s="4"/>
      <c r="T4" s="3"/>
      <c r="U4" s="2"/>
      <c r="Y4" s="34" t="s">
        <v>38</v>
      </c>
      <c r="Z4" s="34" t="s">
        <v>38</v>
      </c>
      <c r="AA4" s="34" t="s">
        <v>47</v>
      </c>
      <c r="AB4" s="34"/>
      <c r="AC4" s="34"/>
    </row>
    <row r="5" spans="1:30" s="17" customFormat="1" ht="24.75">
      <c r="A5" s="25" t="s">
        <v>48</v>
      </c>
      <c r="B5" s="25"/>
      <c r="C5" s="13" t="s">
        <v>49</v>
      </c>
      <c r="D5" s="13" t="s">
        <v>50</v>
      </c>
      <c r="E5" s="13" t="s">
        <v>33</v>
      </c>
      <c r="F5" s="20" t="s">
        <v>51</v>
      </c>
      <c r="G5" s="15" t="str">
        <f>IF(E5="EXTERNA","CON TERCEROS","EN CARTERA")</f>
        <v>EN CARTERA</v>
      </c>
      <c r="H5" s="15"/>
      <c r="I5" s="16" t="s">
        <v>35</v>
      </c>
      <c r="J5" s="13" t="s">
        <v>36</v>
      </c>
      <c r="K5" s="13"/>
      <c r="O5" s="17" t="s">
        <v>37</v>
      </c>
      <c r="P5" s="1">
        <v>114</v>
      </c>
      <c r="Q5" s="18">
        <f>IF(O5="Trimestral",P5*4,P5*12)</f>
        <v>456</v>
      </c>
      <c r="S5" s="4"/>
      <c r="T5" s="1"/>
      <c r="U5" s="2"/>
      <c r="Y5" s="34" t="s">
        <v>38</v>
      </c>
      <c r="Z5" s="34" t="s">
        <v>38</v>
      </c>
      <c r="AA5" s="34"/>
      <c r="AB5" s="34"/>
      <c r="AC5" s="34"/>
    </row>
    <row r="6" spans="1:30" s="17" customFormat="1" ht="24.75">
      <c r="A6" s="25" t="s">
        <v>52</v>
      </c>
      <c r="B6" s="25"/>
      <c r="C6" s="13" t="s">
        <v>53</v>
      </c>
      <c r="D6" s="13" t="s">
        <v>54</v>
      </c>
      <c r="E6" s="13" t="s">
        <v>33</v>
      </c>
      <c r="F6" s="20" t="s">
        <v>55</v>
      </c>
      <c r="G6" s="15" t="str">
        <f>IF(E6="EXTERNA","CON TERCEROS","EN CARTERA")</f>
        <v>EN CARTERA</v>
      </c>
      <c r="H6" s="15"/>
      <c r="I6" s="16" t="s">
        <v>35</v>
      </c>
      <c r="J6" s="13" t="s">
        <v>36</v>
      </c>
      <c r="K6" s="13"/>
      <c r="O6" s="17" t="s">
        <v>37</v>
      </c>
      <c r="P6" s="1">
        <v>122</v>
      </c>
      <c r="Q6" s="18">
        <f>IF(O6="Trimestral",P6*4,P6*12)</f>
        <v>488</v>
      </c>
      <c r="S6" s="4"/>
      <c r="T6" s="1"/>
      <c r="U6" s="2"/>
      <c r="Y6" s="34" t="s">
        <v>38</v>
      </c>
      <c r="Z6" s="34" t="s">
        <v>47</v>
      </c>
      <c r="AA6" s="34"/>
      <c r="AB6" s="34"/>
      <c r="AC6" s="34"/>
    </row>
    <row r="7" spans="1:30" s="17" customFormat="1">
      <c r="A7" s="25" t="s">
        <v>56</v>
      </c>
      <c r="B7" s="25"/>
      <c r="C7" s="13" t="s">
        <v>57</v>
      </c>
      <c r="D7" s="13" t="s">
        <v>58</v>
      </c>
      <c r="E7" s="13" t="s">
        <v>59</v>
      </c>
      <c r="F7" s="21">
        <v>760980297818</v>
      </c>
      <c r="G7" s="15" t="str">
        <f>IF(E7="EXTERNA","CON TERCEROS","EN CARTERA")</f>
        <v>EN CARTERA</v>
      </c>
      <c r="H7" s="15"/>
      <c r="I7" s="16" t="s">
        <v>35</v>
      </c>
      <c r="J7" s="13" t="s">
        <v>36</v>
      </c>
      <c r="K7" s="13"/>
      <c r="O7" s="17" t="s">
        <v>37</v>
      </c>
      <c r="P7" s="1">
        <v>189</v>
      </c>
      <c r="Q7" s="18">
        <f>IF(O7="Trimestral",P7*4,P7*12)</f>
        <v>756</v>
      </c>
      <c r="S7" s="4"/>
      <c r="T7" s="1"/>
      <c r="U7" s="2"/>
      <c r="Y7" s="34" t="s">
        <v>38</v>
      </c>
      <c r="Z7" s="34" t="s">
        <v>38</v>
      </c>
      <c r="AA7" s="34"/>
      <c r="AB7" s="34"/>
      <c r="AC7" s="34"/>
    </row>
    <row r="8" spans="1:30" s="17" customFormat="1">
      <c r="A8" s="25" t="s">
        <v>60</v>
      </c>
      <c r="B8" s="25"/>
      <c r="C8" s="13" t="s">
        <v>61</v>
      </c>
      <c r="D8" s="13" t="s">
        <v>62</v>
      </c>
      <c r="E8" s="13" t="s">
        <v>59</v>
      </c>
      <c r="F8" s="14">
        <v>762400008677</v>
      </c>
      <c r="G8" s="15" t="str">
        <f>IF(E8="EXTERNA","CON TERCEROS","EN CARTERA")</f>
        <v>EN CARTERA</v>
      </c>
      <c r="H8" s="15"/>
      <c r="I8" s="16" t="s">
        <v>35</v>
      </c>
      <c r="J8" s="13" t="s">
        <v>36</v>
      </c>
      <c r="K8" s="13"/>
      <c r="O8" s="17" t="s">
        <v>37</v>
      </c>
      <c r="P8" s="1">
        <v>228</v>
      </c>
      <c r="Q8" s="18">
        <f>IF(O8="Trimestral",P8*4,P8*12)</f>
        <v>912</v>
      </c>
      <c r="S8" s="4"/>
      <c r="T8" s="1"/>
      <c r="U8" s="2"/>
      <c r="Y8" s="34" t="s">
        <v>38</v>
      </c>
      <c r="Z8" s="34" t="s">
        <v>38</v>
      </c>
      <c r="AA8" s="34"/>
      <c r="AB8" s="34"/>
      <c r="AC8" s="34"/>
    </row>
    <row r="9" spans="1:30" s="17" customFormat="1">
      <c r="A9" s="25" t="s">
        <v>63</v>
      </c>
      <c r="B9" s="25"/>
      <c r="C9" s="13" t="s">
        <v>64</v>
      </c>
      <c r="D9" s="13" t="s">
        <v>65</v>
      </c>
      <c r="E9" s="13" t="s">
        <v>42</v>
      </c>
      <c r="F9" s="14"/>
      <c r="G9" s="15" t="str">
        <f>IF(E9="EXTERNA","CON TERCEROS","EN CARTERA")</f>
        <v>CON TERCEROS</v>
      </c>
      <c r="H9" s="15"/>
      <c r="I9" s="16" t="s">
        <v>35</v>
      </c>
      <c r="J9" s="13" t="s">
        <v>36</v>
      </c>
      <c r="K9" s="13"/>
      <c r="L9" s="17" t="s">
        <v>46</v>
      </c>
      <c r="M9" s="17" t="s">
        <v>36</v>
      </c>
      <c r="O9" s="17" t="s">
        <v>37</v>
      </c>
      <c r="P9" s="1">
        <v>459</v>
      </c>
      <c r="Q9" s="18">
        <f>IF(O9="Trimestral",P9*4,P9*12)</f>
        <v>1836</v>
      </c>
      <c r="S9" s="4"/>
      <c r="T9" s="1"/>
      <c r="U9" s="2"/>
      <c r="Y9" s="34" t="s">
        <v>38</v>
      </c>
      <c r="Z9" s="34" t="s">
        <v>38</v>
      </c>
      <c r="AA9" s="34" t="s">
        <v>47</v>
      </c>
      <c r="AB9" s="34"/>
      <c r="AC9" s="34"/>
    </row>
    <row r="10" spans="1:30" s="17" customFormat="1">
      <c r="A10" s="25" t="s">
        <v>66</v>
      </c>
      <c r="B10" s="25"/>
      <c r="C10" s="13" t="s">
        <v>67</v>
      </c>
      <c r="D10" s="13" t="s">
        <v>68</v>
      </c>
      <c r="E10" s="13" t="s">
        <v>42</v>
      </c>
      <c r="F10" s="14"/>
      <c r="G10" s="15" t="str">
        <f>IF(E10="EXTERNA","CON TERCEROS","EN CARTERA")</f>
        <v>CON TERCEROS</v>
      </c>
      <c r="H10" s="15"/>
      <c r="I10" s="16" t="s">
        <v>35</v>
      </c>
      <c r="J10" s="13" t="s">
        <v>36</v>
      </c>
      <c r="K10" s="13"/>
      <c r="O10" s="17" t="s">
        <v>37</v>
      </c>
      <c r="P10" s="1">
        <v>207</v>
      </c>
      <c r="Q10" s="18">
        <f>IF(O10="Trimestral",P10*4,P10*12)</f>
        <v>828</v>
      </c>
      <c r="S10" s="4"/>
      <c r="T10" s="1"/>
      <c r="U10" s="2"/>
      <c r="Y10" s="34" t="s">
        <v>38</v>
      </c>
      <c r="Z10" s="34" t="s">
        <v>38</v>
      </c>
      <c r="AA10" s="34"/>
      <c r="AB10" s="34"/>
      <c r="AC10" s="34"/>
    </row>
    <row r="11" spans="1:30" s="17" customFormat="1">
      <c r="A11" s="25" t="s">
        <v>69</v>
      </c>
      <c r="B11" s="25"/>
      <c r="C11" s="13" t="s">
        <v>70</v>
      </c>
      <c r="D11" s="13" t="s">
        <v>71</v>
      </c>
      <c r="E11" s="13" t="s">
        <v>72</v>
      </c>
      <c r="F11" s="14">
        <v>45406388</v>
      </c>
      <c r="G11" s="15" t="str">
        <f>IF(E11="EXTERNA","CON TERCEROS","EN CARTERA")</f>
        <v>EN CARTERA</v>
      </c>
      <c r="H11" s="15"/>
      <c r="I11" s="16" t="s">
        <v>35</v>
      </c>
      <c r="J11" s="13" t="s">
        <v>36</v>
      </c>
      <c r="K11" s="13"/>
      <c r="L11" s="17" t="s">
        <v>73</v>
      </c>
      <c r="O11" s="17" t="s">
        <v>37</v>
      </c>
      <c r="P11" s="1">
        <v>881</v>
      </c>
      <c r="Q11" s="18">
        <f>IF(O11="Trimestral",P11*4,P11*12)</f>
        <v>3524</v>
      </c>
      <c r="S11" s="4"/>
      <c r="T11" s="1"/>
      <c r="U11" s="2"/>
      <c r="Y11" s="34" t="s">
        <v>38</v>
      </c>
      <c r="Z11" s="34" t="s">
        <v>38</v>
      </c>
      <c r="AA11" s="34" t="s">
        <v>47</v>
      </c>
      <c r="AB11" s="34"/>
      <c r="AC11" s="34"/>
    </row>
    <row r="12" spans="1:30" s="17" customFormat="1">
      <c r="A12" s="25" t="s">
        <v>74</v>
      </c>
      <c r="B12" s="25"/>
      <c r="C12" s="13" t="s">
        <v>75</v>
      </c>
      <c r="D12" s="13" t="s">
        <v>76</v>
      </c>
      <c r="E12" s="13" t="s">
        <v>77</v>
      </c>
      <c r="F12" s="14">
        <v>510044763</v>
      </c>
      <c r="G12" s="15" t="str">
        <f>IF(E12="EXTERNA","CON TERCEROS","EN CARTERA")</f>
        <v>EN CARTERA</v>
      </c>
      <c r="H12" s="15"/>
      <c r="I12" s="16" t="s">
        <v>35</v>
      </c>
      <c r="J12" s="13" t="s">
        <v>36</v>
      </c>
      <c r="K12" s="13"/>
      <c r="O12" s="17" t="s">
        <v>37</v>
      </c>
      <c r="P12" s="3">
        <v>1310</v>
      </c>
      <c r="Q12" s="18">
        <f>IF(O12="Trimestral",P12*4,P12*12)</f>
        <v>5240</v>
      </c>
      <c r="S12" s="4"/>
      <c r="T12" s="3"/>
      <c r="U12" s="2"/>
      <c r="Y12" s="34" t="s">
        <v>38</v>
      </c>
      <c r="Z12" s="34" t="s">
        <v>47</v>
      </c>
      <c r="AA12" s="34"/>
      <c r="AB12" s="34"/>
      <c r="AC12" s="34"/>
    </row>
    <row r="13" spans="1:30" s="17" customFormat="1">
      <c r="A13" s="25" t="s">
        <v>78</v>
      </c>
      <c r="B13" s="25"/>
      <c r="C13" s="13" t="s">
        <v>79</v>
      </c>
      <c r="D13" s="13" t="s">
        <v>80</v>
      </c>
      <c r="E13" s="13" t="s">
        <v>77</v>
      </c>
      <c r="F13" s="14">
        <v>510038140</v>
      </c>
      <c r="G13" s="15" t="str">
        <f>IF(E13="EXTERNA","CON TERCEROS","EN CARTERA")</f>
        <v>EN CARTERA</v>
      </c>
      <c r="H13" s="15"/>
      <c r="I13" s="16" t="s">
        <v>35</v>
      </c>
      <c r="J13" s="13" t="s">
        <v>36</v>
      </c>
      <c r="K13" s="13"/>
      <c r="O13" s="17" t="s">
        <v>37</v>
      </c>
      <c r="P13" s="1">
        <v>942</v>
      </c>
      <c r="Q13" s="18">
        <f>IF(O13="Trimestral",P13*4,P13*12)</f>
        <v>3768</v>
      </c>
      <c r="S13" s="4"/>
      <c r="T13" s="1"/>
      <c r="U13" s="2"/>
      <c r="Y13" s="34" t="s">
        <v>38</v>
      </c>
      <c r="Z13" s="34" t="s">
        <v>38</v>
      </c>
      <c r="AA13" s="34" t="s">
        <v>47</v>
      </c>
      <c r="AB13" s="34"/>
      <c r="AC13" s="34"/>
    </row>
    <row r="14" spans="1:30" s="17" customFormat="1">
      <c r="A14" s="25" t="s">
        <v>81</v>
      </c>
      <c r="B14" s="25"/>
      <c r="C14" s="13" t="s">
        <v>82</v>
      </c>
      <c r="D14" s="13" t="s">
        <v>83</v>
      </c>
      <c r="E14" s="13" t="s">
        <v>42</v>
      </c>
      <c r="F14" s="14"/>
      <c r="G14" s="15" t="str">
        <f>IF(E14="EXTERNA","CON TERCEROS","EN CARTERA")</f>
        <v>CON TERCEROS</v>
      </c>
      <c r="H14" s="15"/>
      <c r="I14" s="16" t="s">
        <v>35</v>
      </c>
      <c r="J14" s="13" t="s">
        <v>36</v>
      </c>
      <c r="K14" s="13"/>
      <c r="O14" s="17" t="s">
        <v>37</v>
      </c>
      <c r="P14" s="3">
        <v>1042</v>
      </c>
      <c r="Q14" s="18">
        <f>IF(O14="Trimestral",P14*4,P14*12)</f>
        <v>4168</v>
      </c>
      <c r="S14" s="4"/>
      <c r="T14" s="3"/>
      <c r="U14" s="2"/>
      <c r="Y14" s="34" t="s">
        <v>38</v>
      </c>
      <c r="Z14" s="34" t="s">
        <v>38</v>
      </c>
      <c r="AA14" s="34"/>
      <c r="AB14" s="34"/>
      <c r="AC14" s="34"/>
    </row>
    <row r="15" spans="1:30" s="17" customFormat="1">
      <c r="A15" s="25" t="s">
        <v>84</v>
      </c>
      <c r="B15" s="25"/>
      <c r="C15" s="13" t="s">
        <v>85</v>
      </c>
      <c r="D15" s="13" t="s">
        <v>86</v>
      </c>
      <c r="E15" s="13" t="s">
        <v>77</v>
      </c>
      <c r="F15" s="14">
        <v>510039542</v>
      </c>
      <c r="G15" s="15" t="str">
        <f>IF(E15="EXTERNA","CON TERCEROS","EN CARTERA")</f>
        <v>EN CARTERA</v>
      </c>
      <c r="H15" s="15"/>
      <c r="I15" s="16" t="s">
        <v>35</v>
      </c>
      <c r="J15" s="13" t="s">
        <v>36</v>
      </c>
      <c r="K15" s="13"/>
      <c r="O15" s="17" t="s">
        <v>37</v>
      </c>
      <c r="P15" s="3">
        <v>1654.95</v>
      </c>
      <c r="Q15" s="18">
        <f>IF(O15="Trimestral",P15*4,P15*12)</f>
        <v>6619.8</v>
      </c>
      <c r="S15" s="4"/>
      <c r="T15" s="1"/>
      <c r="U15" s="2"/>
      <c r="Y15" s="34" t="s">
        <v>38</v>
      </c>
      <c r="Z15" s="34" t="s">
        <v>38</v>
      </c>
      <c r="AA15" s="34"/>
      <c r="AB15" s="34"/>
      <c r="AC15" s="34"/>
    </row>
    <row r="16" spans="1:30" s="17" customFormat="1">
      <c r="A16" s="25" t="s">
        <v>87</v>
      </c>
      <c r="B16" s="25"/>
      <c r="C16" s="13" t="s">
        <v>88</v>
      </c>
      <c r="D16" s="13" t="s">
        <v>89</v>
      </c>
      <c r="E16" s="13" t="s">
        <v>59</v>
      </c>
      <c r="F16" s="14" t="s">
        <v>90</v>
      </c>
      <c r="G16" s="15" t="str">
        <f>IF(E16="EXTERNA","CON TERCEROS","EN CARTERA")</f>
        <v>EN CARTERA</v>
      </c>
      <c r="H16" s="15"/>
      <c r="I16" s="16" t="s">
        <v>35</v>
      </c>
      <c r="J16" s="13" t="s">
        <v>36</v>
      </c>
      <c r="K16" s="13"/>
      <c r="L16" s="17" t="s">
        <v>46</v>
      </c>
      <c r="O16" s="17" t="s">
        <v>37</v>
      </c>
      <c r="P16" s="1">
        <v>946</v>
      </c>
      <c r="Q16" s="18">
        <f>IF(O16="Trimestral",P16*4,P16*12)</f>
        <v>3784</v>
      </c>
      <c r="S16" s="4"/>
      <c r="T16" s="1"/>
      <c r="U16" s="2"/>
      <c r="Y16" s="34" t="s">
        <v>38</v>
      </c>
      <c r="Z16" s="34" t="s">
        <v>38</v>
      </c>
      <c r="AA16" s="34"/>
      <c r="AB16" s="34"/>
      <c r="AC16" s="34"/>
    </row>
    <row r="17" spans="1:29" s="17" customFormat="1">
      <c r="A17" s="25" t="s">
        <v>91</v>
      </c>
      <c r="B17" s="25"/>
      <c r="C17" s="13" t="s">
        <v>92</v>
      </c>
      <c r="D17" s="13" t="s">
        <v>93</v>
      </c>
      <c r="E17" s="13" t="s">
        <v>42</v>
      </c>
      <c r="F17" s="14"/>
      <c r="G17" s="15" t="str">
        <f>IF(E17="EXTERNA","CON TERCEROS","EN CARTERA")</f>
        <v>CON TERCEROS</v>
      </c>
      <c r="H17" s="15"/>
      <c r="I17" s="16" t="s">
        <v>35</v>
      </c>
      <c r="J17" s="13" t="s">
        <v>36</v>
      </c>
      <c r="K17" s="13"/>
      <c r="O17" s="17" t="s">
        <v>37</v>
      </c>
      <c r="P17" s="1">
        <v>235</v>
      </c>
      <c r="Q17" s="18">
        <f>IF(O17="Trimestral",P17*4,P17*12)</f>
        <v>940</v>
      </c>
      <c r="S17" s="4"/>
      <c r="T17" s="1"/>
      <c r="U17" s="2"/>
      <c r="Y17" s="34" t="s">
        <v>38</v>
      </c>
      <c r="Z17" s="34" t="s">
        <v>47</v>
      </c>
      <c r="AA17" s="34"/>
      <c r="AB17" s="34"/>
      <c r="AC17" s="34"/>
    </row>
    <row r="18" spans="1:29" s="17" customFormat="1">
      <c r="A18" s="25" t="s">
        <v>94</v>
      </c>
      <c r="B18" s="25"/>
      <c r="C18" s="13" t="s">
        <v>95</v>
      </c>
      <c r="D18" s="13" t="s">
        <v>96</v>
      </c>
      <c r="E18" s="13" t="s">
        <v>59</v>
      </c>
      <c r="F18" s="14">
        <v>762000012016</v>
      </c>
      <c r="G18" s="15" t="str">
        <f>IF(E18="EXTERNA","CON TERCEROS","EN CARTERA")</f>
        <v>EN CARTERA</v>
      </c>
      <c r="H18" s="15"/>
      <c r="I18" s="16" t="s">
        <v>35</v>
      </c>
      <c r="J18" s="13" t="s">
        <v>36</v>
      </c>
      <c r="K18" s="13"/>
      <c r="O18" s="17" t="s">
        <v>37</v>
      </c>
      <c r="P18" s="1">
        <v>209</v>
      </c>
      <c r="Q18" s="18">
        <f>IF(O18="Trimestral",P18*4,P18*12)</f>
        <v>836</v>
      </c>
      <c r="S18" s="4"/>
      <c r="T18" s="1"/>
      <c r="U18" s="2"/>
      <c r="Y18" s="34" t="s">
        <v>38</v>
      </c>
      <c r="Z18" s="34" t="s">
        <v>38</v>
      </c>
      <c r="AA18" s="34"/>
      <c r="AB18" s="34"/>
      <c r="AC18" s="34"/>
    </row>
    <row r="19" spans="1:29" s="17" customFormat="1">
      <c r="A19" s="25" t="s">
        <v>97</v>
      </c>
      <c r="B19" s="25"/>
      <c r="C19" s="13" t="s">
        <v>98</v>
      </c>
      <c r="D19" s="13" t="s">
        <v>99</v>
      </c>
      <c r="E19" s="13" t="s">
        <v>42</v>
      </c>
      <c r="F19" s="14"/>
      <c r="G19" s="15" t="str">
        <f>IF(E19="EXTERNA","CON TERCEROS","EN CARTERA")</f>
        <v>CON TERCEROS</v>
      </c>
      <c r="H19" s="15"/>
      <c r="I19" s="16" t="s">
        <v>35</v>
      </c>
      <c r="J19" s="13" t="s">
        <v>36</v>
      </c>
      <c r="K19" s="13"/>
      <c r="O19" s="17" t="s">
        <v>100</v>
      </c>
      <c r="P19" s="1">
        <f>517.14/3</f>
        <v>172.38</v>
      </c>
      <c r="Q19" s="18">
        <f>IF(O19="Trimestral",P19*4,P19*12)</f>
        <v>2068.56</v>
      </c>
      <c r="S19" s="4"/>
      <c r="T19" s="1"/>
      <c r="U19" s="2"/>
      <c r="Y19" s="34" t="s">
        <v>38</v>
      </c>
      <c r="Z19" s="34" t="s">
        <v>38</v>
      </c>
      <c r="AA19" s="34"/>
      <c r="AB19" s="34"/>
      <c r="AC19" s="34"/>
    </row>
    <row r="20" spans="1:29" s="17" customFormat="1">
      <c r="A20" s="25" t="s">
        <v>101</v>
      </c>
      <c r="B20" s="25"/>
      <c r="C20" s="13" t="s">
        <v>102</v>
      </c>
      <c r="D20" s="13" t="s">
        <v>103</v>
      </c>
      <c r="E20" s="13" t="s">
        <v>42</v>
      </c>
      <c r="F20" s="14"/>
      <c r="G20" s="15" t="str">
        <f>IF(E20="EXTERNA","CON TERCEROS","EN CARTERA")</f>
        <v>CON TERCEROS</v>
      </c>
      <c r="H20" s="15"/>
      <c r="I20" s="16" t="s">
        <v>35</v>
      </c>
      <c r="J20" s="13" t="s">
        <v>36</v>
      </c>
      <c r="K20" s="13"/>
      <c r="O20" s="17" t="s">
        <v>100</v>
      </c>
      <c r="P20" s="1">
        <f>549.03/3</f>
        <v>183.01</v>
      </c>
      <c r="Q20" s="18">
        <f>IF(O20="Trimestral",P20*4,P20*12)</f>
        <v>2196.12</v>
      </c>
      <c r="S20" s="4"/>
      <c r="T20" s="1"/>
      <c r="U20" s="2"/>
      <c r="Y20" s="34" t="s">
        <v>38</v>
      </c>
      <c r="Z20" s="34" t="s">
        <v>38</v>
      </c>
      <c r="AA20" s="34"/>
      <c r="AB20" s="34"/>
      <c r="AC20" s="34"/>
    </row>
    <row r="21" spans="1:29" s="17" customFormat="1">
      <c r="A21" s="25" t="s">
        <v>104</v>
      </c>
      <c r="B21" s="25"/>
      <c r="C21" s="13" t="s">
        <v>105</v>
      </c>
      <c r="D21" s="13" t="s">
        <v>106</v>
      </c>
      <c r="E21" s="13" t="s">
        <v>59</v>
      </c>
      <c r="F21" s="21">
        <v>760480004889</v>
      </c>
      <c r="G21" s="15" t="str">
        <f>IF(E21="EXTERNA","CON TERCEROS","EN CARTERA")</f>
        <v>EN CARTERA</v>
      </c>
      <c r="H21" s="15"/>
      <c r="I21" s="16" t="s">
        <v>35</v>
      </c>
      <c r="J21" s="13" t="s">
        <v>36</v>
      </c>
      <c r="K21" s="13"/>
      <c r="O21" s="17" t="s">
        <v>37</v>
      </c>
      <c r="P21" s="1">
        <v>348</v>
      </c>
      <c r="Q21" s="18">
        <f>IF(O21="Trimestral",P21*4,P21*12)</f>
        <v>1392</v>
      </c>
      <c r="S21" s="4"/>
      <c r="T21" s="1"/>
      <c r="U21" s="2"/>
      <c r="Y21" s="34" t="s">
        <v>38</v>
      </c>
      <c r="Z21" s="34" t="s">
        <v>38</v>
      </c>
      <c r="AA21" s="34"/>
      <c r="AB21" s="34"/>
      <c r="AC21" s="34"/>
    </row>
    <row r="22" spans="1:29" s="17" customFormat="1">
      <c r="A22" s="25" t="s">
        <v>107</v>
      </c>
      <c r="B22" s="25"/>
      <c r="C22" s="13" t="s">
        <v>108</v>
      </c>
      <c r="D22" s="13" t="s">
        <v>109</v>
      </c>
      <c r="E22" s="13" t="s">
        <v>42</v>
      </c>
      <c r="F22" s="14"/>
      <c r="G22" s="15" t="str">
        <f>IF(E22="EXTERNA","CON TERCEROS","EN CARTERA")</f>
        <v>CON TERCEROS</v>
      </c>
      <c r="H22" s="15"/>
      <c r="I22" s="16" t="s">
        <v>35</v>
      </c>
      <c r="J22" s="13" t="s">
        <v>36</v>
      </c>
      <c r="K22" s="13"/>
      <c r="O22" s="17" t="s">
        <v>37</v>
      </c>
      <c r="P22" s="1"/>
      <c r="Q22" s="18">
        <f>IF(O22="Trimestral",P22*4,P22*12)</f>
        <v>0</v>
      </c>
      <c r="S22" s="4"/>
      <c r="T22" s="1"/>
      <c r="U22" s="2"/>
      <c r="Y22" s="34" t="s">
        <v>38</v>
      </c>
      <c r="Z22" s="34" t="s">
        <v>38</v>
      </c>
      <c r="AA22" s="34"/>
      <c r="AB22" s="34"/>
      <c r="AC22" s="34"/>
    </row>
    <row r="23" spans="1:29" s="17" customFormat="1" ht="16.5" customHeight="1">
      <c r="A23" s="25" t="s">
        <v>110</v>
      </c>
      <c r="B23" s="25"/>
      <c r="C23" s="13" t="s">
        <v>111</v>
      </c>
      <c r="D23" s="13" t="s">
        <v>112</v>
      </c>
      <c r="E23" s="13" t="s">
        <v>42</v>
      </c>
      <c r="F23" s="14"/>
      <c r="G23" s="15" t="str">
        <f>IF(E23="EXTERNA","CON TERCEROS","EN CARTERA")</f>
        <v>CON TERCEROS</v>
      </c>
      <c r="H23" s="15"/>
      <c r="I23" s="16" t="s">
        <v>35</v>
      </c>
      <c r="J23" s="13" t="s">
        <v>36</v>
      </c>
      <c r="K23" s="13"/>
      <c r="L23" s="17" t="s">
        <v>46</v>
      </c>
      <c r="O23" s="17" t="s">
        <v>37</v>
      </c>
      <c r="P23" s="1">
        <v>625</v>
      </c>
      <c r="Q23" s="18">
        <f>IF(O23="Trimestral",P23*4,P23*12)</f>
        <v>2500</v>
      </c>
      <c r="S23" s="4"/>
      <c r="T23" s="1"/>
      <c r="U23" s="2"/>
      <c r="Y23" s="34" t="s">
        <v>38</v>
      </c>
      <c r="Z23" s="34" t="s">
        <v>38</v>
      </c>
      <c r="AA23" s="34"/>
      <c r="AB23" s="34"/>
      <c r="AC23" s="34"/>
    </row>
    <row r="24" spans="1:29" s="17" customFormat="1">
      <c r="A24" s="25" t="s">
        <v>113</v>
      </c>
      <c r="B24" s="25"/>
      <c r="C24" s="13" t="s">
        <v>114</v>
      </c>
      <c r="D24" s="13" t="s">
        <v>115</v>
      </c>
      <c r="E24" s="13" t="s">
        <v>33</v>
      </c>
      <c r="F24" s="14">
        <v>140373000322</v>
      </c>
      <c r="G24" s="15" t="str">
        <f>IF(E24="EXTERNA","CON TERCEROS","EN CARTERA")</f>
        <v>EN CARTERA</v>
      </c>
      <c r="H24" s="15"/>
      <c r="I24" s="16" t="s">
        <v>35</v>
      </c>
      <c r="J24" s="13" t="s">
        <v>36</v>
      </c>
      <c r="K24" s="13"/>
      <c r="L24" s="17" t="s">
        <v>46</v>
      </c>
      <c r="N24" s="17" t="s">
        <v>116</v>
      </c>
      <c r="O24" s="17" t="s">
        <v>37</v>
      </c>
      <c r="P24" s="1">
        <v>966</v>
      </c>
      <c r="Q24" s="18">
        <f>IF(O24="Trimestral",P24*4,P24*12)</f>
        <v>3864</v>
      </c>
      <c r="S24" s="4"/>
      <c r="T24" s="1"/>
      <c r="U24" s="2"/>
      <c r="Y24" s="34" t="s">
        <v>38</v>
      </c>
      <c r="Z24" s="34" t="s">
        <v>38</v>
      </c>
      <c r="AA24" s="34" t="s">
        <v>47</v>
      </c>
      <c r="AB24" s="34"/>
      <c r="AC24" s="34"/>
    </row>
    <row r="25" spans="1:29" s="17" customFormat="1">
      <c r="A25" s="25" t="s">
        <v>117</v>
      </c>
      <c r="B25" s="25"/>
      <c r="C25" s="13" t="s">
        <v>118</v>
      </c>
      <c r="D25" s="13" t="s">
        <v>119</v>
      </c>
      <c r="E25" s="13" t="s">
        <v>59</v>
      </c>
      <c r="F25" s="14">
        <v>762000008989</v>
      </c>
      <c r="G25" s="15" t="str">
        <f>IF(E25="EXTERNA","CON TERCEROS","EN CARTERA")</f>
        <v>EN CARTERA</v>
      </c>
      <c r="H25" s="15"/>
      <c r="I25" s="16" t="s">
        <v>35</v>
      </c>
      <c r="J25" s="13" t="s">
        <v>36</v>
      </c>
      <c r="K25" s="13"/>
      <c r="L25" s="17" t="s">
        <v>46</v>
      </c>
      <c r="O25" s="17" t="s">
        <v>37</v>
      </c>
      <c r="P25" s="1">
        <v>704</v>
      </c>
      <c r="Q25" s="18">
        <f>IF(O25="Trimestral",P25*4,P25*12)</f>
        <v>2816</v>
      </c>
      <c r="S25" s="4"/>
      <c r="T25" s="1"/>
      <c r="U25" s="2"/>
      <c r="Y25" s="36" t="s">
        <v>47</v>
      </c>
      <c r="Z25" s="34" t="s">
        <v>47</v>
      </c>
      <c r="AA25" s="34" t="s">
        <v>47</v>
      </c>
      <c r="AB25" s="34"/>
      <c r="AC25" s="34"/>
    </row>
    <row r="26" spans="1:29" s="17" customFormat="1">
      <c r="A26" s="25" t="s">
        <v>120</v>
      </c>
      <c r="B26" s="25"/>
      <c r="C26" s="13" t="s">
        <v>121</v>
      </c>
      <c r="D26" s="13" t="s">
        <v>122</v>
      </c>
      <c r="E26" s="13" t="s">
        <v>42</v>
      </c>
      <c r="F26" s="14"/>
      <c r="G26" s="15" t="str">
        <f>IF(E26="EXTERNA","CON TERCEROS","EN CARTERA")</f>
        <v>CON TERCEROS</v>
      </c>
      <c r="H26" s="15"/>
      <c r="I26" s="16" t="s">
        <v>35</v>
      </c>
      <c r="J26" s="13" t="s">
        <v>36</v>
      </c>
      <c r="K26" s="13"/>
      <c r="O26" s="17" t="s">
        <v>37</v>
      </c>
      <c r="P26" s="1">
        <v>151</v>
      </c>
      <c r="Q26" s="18">
        <f>IF(O26="Trimestral",P26*4,P26*12)</f>
        <v>604</v>
      </c>
      <c r="S26" s="4"/>
      <c r="T26" s="1"/>
      <c r="U26" s="2"/>
      <c r="Y26" s="34" t="s">
        <v>38</v>
      </c>
      <c r="Z26" s="34" t="s">
        <v>38</v>
      </c>
      <c r="AA26" s="34"/>
      <c r="AB26" s="34"/>
      <c r="AC26" s="34"/>
    </row>
    <row r="27" spans="1:29" s="17" customFormat="1">
      <c r="A27" s="25" t="s">
        <v>123</v>
      </c>
      <c r="B27" s="25"/>
      <c r="C27" s="13" t="s">
        <v>124</v>
      </c>
      <c r="D27" s="13" t="s">
        <v>125</v>
      </c>
      <c r="E27" s="13" t="s">
        <v>33</v>
      </c>
      <c r="F27" s="14" t="s">
        <v>126</v>
      </c>
      <c r="G27" s="15" t="str">
        <f>IF(E27="EXTERNA","CON TERCEROS","EN CARTERA")</f>
        <v>EN CARTERA</v>
      </c>
      <c r="H27" s="15"/>
      <c r="I27" s="16" t="s">
        <v>35</v>
      </c>
      <c r="J27" s="13" t="s">
        <v>36</v>
      </c>
      <c r="K27" s="13"/>
      <c r="L27" s="17" t="s">
        <v>46</v>
      </c>
      <c r="O27" s="17" t="s">
        <v>37</v>
      </c>
      <c r="P27" s="1">
        <v>789</v>
      </c>
      <c r="Q27" s="18">
        <f>IF(O27="Trimestral",P27*4,P27*12)</f>
        <v>3156</v>
      </c>
      <c r="S27" s="4"/>
      <c r="T27" s="1"/>
      <c r="U27" s="2"/>
      <c r="Y27" s="34" t="s">
        <v>38</v>
      </c>
      <c r="Z27" s="34" t="s">
        <v>38</v>
      </c>
      <c r="AA27" s="34" t="s">
        <v>47</v>
      </c>
      <c r="AB27" s="34"/>
      <c r="AC27" s="34"/>
    </row>
    <row r="28" spans="1:29" s="17" customFormat="1">
      <c r="A28" s="25" t="s">
        <v>127</v>
      </c>
      <c r="B28" s="25"/>
      <c r="C28" s="13" t="s">
        <v>128</v>
      </c>
      <c r="D28" s="13" t="s">
        <v>129</v>
      </c>
      <c r="E28" s="13" t="s">
        <v>42</v>
      </c>
      <c r="F28" s="14">
        <v>761680171104</v>
      </c>
      <c r="G28" s="15" t="str">
        <f>IF(E28="EXTERNA","CON TERCEROS","EN CARTERA")</f>
        <v>CON TERCEROS</v>
      </c>
      <c r="H28" s="15"/>
      <c r="I28" s="16" t="s">
        <v>35</v>
      </c>
      <c r="J28" s="13" t="s">
        <v>36</v>
      </c>
      <c r="K28" s="13"/>
      <c r="O28" s="17" t="s">
        <v>37</v>
      </c>
      <c r="P28" s="3">
        <v>1220</v>
      </c>
      <c r="Q28" s="18">
        <f>IF(O28="Trimestral",P28*4,P28*12)</f>
        <v>4880</v>
      </c>
      <c r="S28" s="4"/>
      <c r="T28" s="3"/>
      <c r="U28" s="2"/>
      <c r="Y28" s="34" t="s">
        <v>38</v>
      </c>
      <c r="Z28" s="34" t="s">
        <v>38</v>
      </c>
      <c r="AA28" s="34" t="s">
        <v>47</v>
      </c>
      <c r="AB28" s="34"/>
      <c r="AC28" s="34"/>
    </row>
    <row r="29" spans="1:29" s="17" customFormat="1">
      <c r="A29" s="25" t="s">
        <v>130</v>
      </c>
      <c r="B29" s="25"/>
      <c r="C29" s="13" t="s">
        <v>131</v>
      </c>
      <c r="D29" s="13" t="s">
        <v>132</v>
      </c>
      <c r="E29" s="13" t="s">
        <v>59</v>
      </c>
      <c r="F29" s="14" t="s">
        <v>133</v>
      </c>
      <c r="G29" s="15" t="str">
        <f>IF(E29="EXTERNA","CON TERCEROS","EN CARTERA")</f>
        <v>EN CARTERA</v>
      </c>
      <c r="H29" s="15"/>
      <c r="I29" s="16" t="s">
        <v>35</v>
      </c>
      <c r="J29" s="13" t="s">
        <v>36</v>
      </c>
      <c r="K29" s="13"/>
      <c r="O29" s="17" t="s">
        <v>37</v>
      </c>
      <c r="P29" s="1">
        <v>156</v>
      </c>
      <c r="Q29" s="18">
        <f>IF(O29="Trimestral",P29*4,P29*12)</f>
        <v>624</v>
      </c>
      <c r="S29" s="4"/>
      <c r="T29" s="1"/>
      <c r="U29" s="2"/>
      <c r="Y29" s="34" t="s">
        <v>38</v>
      </c>
      <c r="Z29" s="34" t="s">
        <v>38</v>
      </c>
      <c r="AA29" s="34"/>
      <c r="AB29" s="34"/>
      <c r="AC29" s="34"/>
    </row>
    <row r="30" spans="1:29" s="17" customFormat="1">
      <c r="A30" s="25" t="s">
        <v>134</v>
      </c>
      <c r="B30" s="25"/>
      <c r="C30" s="13" t="s">
        <v>135</v>
      </c>
      <c r="D30" s="13" t="s">
        <v>136</v>
      </c>
      <c r="E30" s="13" t="s">
        <v>59</v>
      </c>
      <c r="F30" s="14" t="s">
        <v>137</v>
      </c>
      <c r="G30" s="15" t="str">
        <f>IF(E30="EXTERNA","CON TERCEROS","EN CARTERA")</f>
        <v>EN CARTERA</v>
      </c>
      <c r="H30" s="15"/>
      <c r="I30" s="16" t="s">
        <v>35</v>
      </c>
      <c r="J30" s="13" t="s">
        <v>36</v>
      </c>
      <c r="K30" s="13"/>
      <c r="O30" s="17" t="s">
        <v>37</v>
      </c>
      <c r="P30" s="1">
        <v>239</v>
      </c>
      <c r="Q30" s="18">
        <f>IF(O30="Trimestral",P30*4,P30*12)</f>
        <v>956</v>
      </c>
      <c r="S30" s="4"/>
      <c r="T30" s="1"/>
      <c r="U30" s="2"/>
      <c r="Y30" s="34" t="s">
        <v>38</v>
      </c>
      <c r="Z30" s="34" t="s">
        <v>38</v>
      </c>
      <c r="AA30" s="34"/>
      <c r="AB30" s="34"/>
      <c r="AC30" s="34"/>
    </row>
    <row r="31" spans="1:29" s="17" customFormat="1">
      <c r="A31" s="25" t="s">
        <v>138</v>
      </c>
      <c r="B31" s="25"/>
      <c r="C31" s="13" t="s">
        <v>139</v>
      </c>
      <c r="D31" s="13" t="s">
        <v>140</v>
      </c>
      <c r="E31" s="13" t="s">
        <v>59</v>
      </c>
      <c r="F31" s="14">
        <v>762300001804</v>
      </c>
      <c r="G31" s="15" t="str">
        <f>IF(E31="EXTERNA","CON TERCEROS","EN CARTERA")</f>
        <v>EN CARTERA</v>
      </c>
      <c r="H31" s="15"/>
      <c r="I31" s="16" t="s">
        <v>35</v>
      </c>
      <c r="J31" s="13" t="s">
        <v>36</v>
      </c>
      <c r="K31" s="13"/>
      <c r="O31" s="17" t="s">
        <v>37</v>
      </c>
      <c r="P31" s="1">
        <v>515</v>
      </c>
      <c r="Q31" s="18">
        <f>IF(O31="Trimestral",P31*4,P31*12)</f>
        <v>2060</v>
      </c>
      <c r="S31" s="4"/>
      <c r="T31" s="1"/>
      <c r="U31" s="2"/>
      <c r="Y31" s="34" t="s">
        <v>38</v>
      </c>
      <c r="Z31" s="34" t="s">
        <v>38</v>
      </c>
      <c r="AA31" s="34" t="s">
        <v>47</v>
      </c>
      <c r="AB31" s="34"/>
      <c r="AC31" s="34"/>
    </row>
    <row r="32" spans="1:29" s="17" customFormat="1">
      <c r="A32" s="25" t="s">
        <v>141</v>
      </c>
      <c r="B32" s="25"/>
      <c r="C32" s="13" t="s">
        <v>142</v>
      </c>
      <c r="D32" s="13" t="s">
        <v>143</v>
      </c>
      <c r="E32" s="13" t="s">
        <v>77</v>
      </c>
      <c r="F32" s="14" t="s">
        <v>144</v>
      </c>
      <c r="G32" s="15" t="str">
        <f>IF(E32="EXTERNA","CON TERCEROS","EN CARTERA")</f>
        <v>EN CARTERA</v>
      </c>
      <c r="H32" s="15"/>
      <c r="I32" s="16" t="s">
        <v>35</v>
      </c>
      <c r="J32" s="13" t="s">
        <v>36</v>
      </c>
      <c r="K32" s="13"/>
      <c r="L32" s="17" t="s">
        <v>46</v>
      </c>
      <c r="M32" s="17" t="s">
        <v>36</v>
      </c>
      <c r="O32" s="17" t="s">
        <v>37</v>
      </c>
      <c r="P32" s="18">
        <v>2471</v>
      </c>
      <c r="Q32" s="18">
        <f>IF(O32="Trimestral",P32*4,P32*12)</f>
        <v>9884</v>
      </c>
      <c r="S32" s="4"/>
      <c r="T32" s="1"/>
      <c r="U32" s="2"/>
      <c r="Y32" s="34" t="s">
        <v>38</v>
      </c>
      <c r="Z32" s="34" t="s">
        <v>47</v>
      </c>
      <c r="AA32" s="34" t="s">
        <v>47</v>
      </c>
      <c r="AB32" s="34"/>
      <c r="AC32" s="34"/>
    </row>
    <row r="33" spans="1:29" s="17" customFormat="1">
      <c r="A33" s="25" t="s">
        <v>145</v>
      </c>
      <c r="B33" s="25"/>
      <c r="C33" s="13" t="s">
        <v>146</v>
      </c>
      <c r="D33" s="13" t="s">
        <v>147</v>
      </c>
      <c r="E33" s="13" t="s">
        <v>59</v>
      </c>
      <c r="F33" s="14">
        <v>762300002528</v>
      </c>
      <c r="G33" s="15" t="str">
        <f>IF(E33="EXTERNA","CON TERCEROS","EN CARTERA")</f>
        <v>EN CARTERA</v>
      </c>
      <c r="H33" s="15"/>
      <c r="I33" s="16" t="s">
        <v>35</v>
      </c>
      <c r="J33" s="13" t="s">
        <v>36</v>
      </c>
      <c r="K33" s="13"/>
      <c r="O33" s="17" t="s">
        <v>37</v>
      </c>
      <c r="P33" s="1">
        <v>624</v>
      </c>
      <c r="Q33" s="18">
        <f>IF(O33="Trimestral",P33*4,P33*12)</f>
        <v>2496</v>
      </c>
      <c r="S33" s="4"/>
      <c r="T33" s="1"/>
      <c r="U33" s="2"/>
      <c r="Y33" s="34" t="s">
        <v>38</v>
      </c>
      <c r="Z33" s="34" t="s">
        <v>38</v>
      </c>
      <c r="AA33" s="34"/>
      <c r="AB33" s="34"/>
      <c r="AC33" s="34"/>
    </row>
    <row r="34" spans="1:29" s="17" customFormat="1">
      <c r="A34" s="25" t="s">
        <v>148</v>
      </c>
      <c r="B34" s="25"/>
      <c r="C34" s="13" t="s">
        <v>149</v>
      </c>
      <c r="D34" s="13" t="s">
        <v>150</v>
      </c>
      <c r="E34" s="13" t="s">
        <v>59</v>
      </c>
      <c r="F34" s="14">
        <v>769980365548</v>
      </c>
      <c r="G34" s="15" t="str">
        <f>IF(E34="EXTERNA","CON TERCEROS","EN CARTERA")</f>
        <v>EN CARTERA</v>
      </c>
      <c r="H34" s="15"/>
      <c r="I34" s="16" t="s">
        <v>35</v>
      </c>
      <c r="J34" s="13" t="s">
        <v>36</v>
      </c>
      <c r="K34" s="13"/>
      <c r="L34" s="17" t="s">
        <v>46</v>
      </c>
      <c r="M34" s="17" t="s">
        <v>36</v>
      </c>
      <c r="O34" s="17" t="s">
        <v>37</v>
      </c>
      <c r="P34" s="1">
        <v>960</v>
      </c>
      <c r="Q34" s="18">
        <f>IF(O34="Trimestral",P34*4,P34*12)</f>
        <v>3840</v>
      </c>
      <c r="S34" s="4"/>
      <c r="T34" s="1"/>
      <c r="U34" s="2"/>
      <c r="Y34" s="34" t="s">
        <v>38</v>
      </c>
      <c r="Z34" s="34" t="s">
        <v>38</v>
      </c>
      <c r="AA34" s="34" t="s">
        <v>47</v>
      </c>
      <c r="AB34" s="34"/>
      <c r="AC34" s="34"/>
    </row>
    <row r="35" spans="1:29" s="17" customFormat="1">
      <c r="A35" s="25" t="s">
        <v>151</v>
      </c>
      <c r="B35" s="25"/>
      <c r="C35" s="13" t="s">
        <v>152</v>
      </c>
      <c r="D35" s="13" t="s">
        <v>153</v>
      </c>
      <c r="E35" s="13" t="s">
        <v>59</v>
      </c>
      <c r="F35" s="20">
        <v>762000007968</v>
      </c>
      <c r="G35" s="15" t="str">
        <f>IF(E35="EXTERNA","CON TERCEROS","EN CARTERA")</f>
        <v>EN CARTERA</v>
      </c>
      <c r="H35" s="15"/>
      <c r="I35" s="16" t="s">
        <v>35</v>
      </c>
      <c r="J35" s="13" t="s">
        <v>36</v>
      </c>
      <c r="K35" s="13"/>
      <c r="O35" s="17" t="s">
        <v>37</v>
      </c>
      <c r="P35" s="1">
        <v>516</v>
      </c>
      <c r="Q35" s="18">
        <f>IF(O35="Trimestral",P35*4,P35*12)</f>
        <v>2064</v>
      </c>
      <c r="S35" s="4"/>
      <c r="T35" s="1"/>
      <c r="U35" s="2"/>
      <c r="Y35" s="34" t="s">
        <v>38</v>
      </c>
      <c r="Z35" s="34" t="s">
        <v>38</v>
      </c>
      <c r="AA35" s="34"/>
      <c r="AB35" s="34"/>
      <c r="AC35" s="34"/>
    </row>
    <row r="36" spans="1:29" s="17" customFormat="1">
      <c r="A36" s="25" t="s">
        <v>154</v>
      </c>
      <c r="B36" s="25"/>
      <c r="C36" s="13" t="s">
        <v>155</v>
      </c>
      <c r="D36" s="13" t="s">
        <v>156</v>
      </c>
      <c r="E36" s="13" t="s">
        <v>59</v>
      </c>
      <c r="F36" s="14">
        <v>761900006143</v>
      </c>
      <c r="G36" s="15" t="str">
        <f>IF(E36="EXTERNA","CON TERCEROS","EN CARTERA")</f>
        <v>EN CARTERA</v>
      </c>
      <c r="H36" s="15"/>
      <c r="I36" s="16" t="s">
        <v>35</v>
      </c>
      <c r="J36" s="13" t="s">
        <v>36</v>
      </c>
      <c r="K36" s="13"/>
      <c r="L36" s="17" t="s">
        <v>46</v>
      </c>
      <c r="M36" s="17" t="s">
        <v>36</v>
      </c>
      <c r="O36" s="17" t="s">
        <v>37</v>
      </c>
      <c r="P36" s="1">
        <v>879</v>
      </c>
      <c r="Q36" s="18">
        <f>IF(O36="Trimestral",P36*4,P36*12)</f>
        <v>3516</v>
      </c>
      <c r="S36" s="4"/>
      <c r="T36" s="3"/>
      <c r="U36" s="2"/>
      <c r="Y36" s="34" t="s">
        <v>38</v>
      </c>
      <c r="Z36" s="34" t="s">
        <v>38</v>
      </c>
      <c r="AA36" s="34" t="s">
        <v>47</v>
      </c>
      <c r="AB36" s="34"/>
      <c r="AC36" s="34"/>
    </row>
    <row r="37" spans="1:29" s="17" customFormat="1">
      <c r="A37" s="25" t="s">
        <v>157</v>
      </c>
      <c r="B37" s="25"/>
      <c r="C37" s="13" t="s">
        <v>158</v>
      </c>
      <c r="D37" s="13" t="s">
        <v>159</v>
      </c>
      <c r="E37" s="13" t="s">
        <v>77</v>
      </c>
      <c r="F37" s="14" t="s">
        <v>160</v>
      </c>
      <c r="G37" s="15" t="str">
        <f>IF(E37="EXTERNA","CON TERCEROS","EN CARTERA")</f>
        <v>EN CARTERA</v>
      </c>
      <c r="H37" s="15"/>
      <c r="I37" s="16" t="s">
        <v>35</v>
      </c>
      <c r="J37" s="13" t="s">
        <v>36</v>
      </c>
      <c r="K37" s="13"/>
      <c r="L37" s="17" t="s">
        <v>46</v>
      </c>
      <c r="O37" s="17" t="s">
        <v>37</v>
      </c>
      <c r="P37" s="3">
        <v>350</v>
      </c>
      <c r="Q37" s="18">
        <f>IF(O37="Trimestral",P37*4,P37*12)</f>
        <v>1400</v>
      </c>
      <c r="S37" s="4"/>
      <c r="T37" s="3"/>
      <c r="U37" s="2"/>
      <c r="Y37" s="34" t="s">
        <v>38</v>
      </c>
      <c r="Z37" s="34" t="s">
        <v>38</v>
      </c>
      <c r="AA37" s="34"/>
      <c r="AB37" s="34"/>
      <c r="AC37" s="34"/>
    </row>
    <row r="38" spans="1:29" s="17" customFormat="1">
      <c r="A38" s="25" t="s">
        <v>161</v>
      </c>
      <c r="B38" s="25"/>
      <c r="C38" s="13" t="s">
        <v>162</v>
      </c>
      <c r="D38" s="13" t="s">
        <v>163</v>
      </c>
      <c r="E38" s="13" t="s">
        <v>59</v>
      </c>
      <c r="F38" s="14" t="s">
        <v>164</v>
      </c>
      <c r="G38" s="15" t="str">
        <f>IF(E38="EXTERNA","CON TERCEROS","EN CARTERA")</f>
        <v>EN CARTERA</v>
      </c>
      <c r="H38" s="15"/>
      <c r="I38" s="16" t="s">
        <v>35</v>
      </c>
      <c r="J38" s="13" t="s">
        <v>36</v>
      </c>
      <c r="K38" s="13"/>
      <c r="L38" s="17" t="s">
        <v>165</v>
      </c>
      <c r="O38" s="17" t="s">
        <v>37</v>
      </c>
      <c r="P38" s="3">
        <v>1124</v>
      </c>
      <c r="Q38" s="18">
        <f>IF(O38="Trimestral",P38*4,P38*12)</f>
        <v>4496</v>
      </c>
      <c r="S38" s="4"/>
      <c r="T38" s="1"/>
      <c r="U38" s="2"/>
      <c r="Y38" s="34" t="s">
        <v>38</v>
      </c>
      <c r="Z38" s="34" t="s">
        <v>38</v>
      </c>
      <c r="AA38" s="34"/>
      <c r="AB38" s="34"/>
      <c r="AC38" s="34"/>
    </row>
    <row r="39" spans="1:29" s="17" customFormat="1">
      <c r="A39" s="25" t="s">
        <v>166</v>
      </c>
      <c r="B39" s="25"/>
      <c r="C39" s="13" t="s">
        <v>167</v>
      </c>
      <c r="D39" s="13" t="s">
        <v>168</v>
      </c>
      <c r="E39" s="13" t="s">
        <v>77</v>
      </c>
      <c r="F39" s="14">
        <v>510005851</v>
      </c>
      <c r="G39" s="15" t="str">
        <f>IF(E39="EXTERNA","CON TERCEROS","EN CARTERA")</f>
        <v>EN CARTERA</v>
      </c>
      <c r="H39" s="15"/>
      <c r="I39" s="16" t="s">
        <v>35</v>
      </c>
      <c r="J39" s="13" t="s">
        <v>36</v>
      </c>
      <c r="K39" s="13"/>
      <c r="O39" s="17" t="s">
        <v>37</v>
      </c>
      <c r="P39" s="1">
        <v>178</v>
      </c>
      <c r="Q39" s="18">
        <f>IF(O39="Trimestral",P39*4,P39*12)</f>
        <v>712</v>
      </c>
      <c r="S39" s="4"/>
      <c r="T39" s="1"/>
      <c r="U39" s="2"/>
      <c r="Y39" s="34" t="s">
        <v>38</v>
      </c>
      <c r="Z39" s="34" t="s">
        <v>38</v>
      </c>
      <c r="AA39" s="34"/>
      <c r="AB39" s="34"/>
      <c r="AC39" s="34"/>
    </row>
    <row r="40" spans="1:29" s="17" customFormat="1">
      <c r="A40" s="25" t="s">
        <v>169</v>
      </c>
      <c r="B40" s="25"/>
      <c r="C40" s="13" t="s">
        <v>170</v>
      </c>
      <c r="D40" s="13" t="s">
        <v>171</v>
      </c>
      <c r="E40" s="13" t="s">
        <v>59</v>
      </c>
      <c r="F40" s="14" t="s">
        <v>172</v>
      </c>
      <c r="G40" s="15" t="str">
        <f>IF(E40="EXTERNA","CON TERCEROS","EN CARTERA")</f>
        <v>EN CARTERA</v>
      </c>
      <c r="H40" s="15"/>
      <c r="I40" s="16" t="s">
        <v>35</v>
      </c>
      <c r="J40" s="13" t="s">
        <v>36</v>
      </c>
      <c r="K40" s="13"/>
      <c r="O40" s="17" t="s">
        <v>37</v>
      </c>
      <c r="P40" s="1">
        <v>828</v>
      </c>
      <c r="Q40" s="18">
        <f>IF(O40="Trimestral",P40*4,P40*12)</f>
        <v>3312</v>
      </c>
      <c r="S40" s="4"/>
      <c r="T40" s="1"/>
      <c r="U40" s="2"/>
      <c r="Y40" s="34" t="s">
        <v>38</v>
      </c>
      <c r="Z40" s="34" t="s">
        <v>38</v>
      </c>
      <c r="AA40" s="34"/>
      <c r="AB40" s="34"/>
      <c r="AC40" s="34"/>
    </row>
    <row r="41" spans="1:29" s="17" customFormat="1">
      <c r="A41" s="25" t="s">
        <v>173</v>
      </c>
      <c r="B41" s="25"/>
      <c r="C41" s="13" t="s">
        <v>174</v>
      </c>
      <c r="D41" s="13" t="s">
        <v>175</v>
      </c>
      <c r="E41" s="13" t="s">
        <v>33</v>
      </c>
      <c r="F41" s="14" t="s">
        <v>176</v>
      </c>
      <c r="G41" s="15" t="str">
        <f>IF(E41="EXTERNA","CON TERCEROS","EN CARTERA")</f>
        <v>EN CARTERA</v>
      </c>
      <c r="H41" s="15"/>
      <c r="I41" s="16" t="s">
        <v>35</v>
      </c>
      <c r="J41" s="13" t="s">
        <v>36</v>
      </c>
      <c r="K41" s="13"/>
      <c r="O41" s="17" t="s">
        <v>37</v>
      </c>
      <c r="P41" s="1">
        <v>212.47</v>
      </c>
      <c r="Q41" s="18">
        <f>IF(O41="Trimestral",P41*4,P41*12)</f>
        <v>849.88</v>
      </c>
      <c r="S41" s="4"/>
      <c r="T41" s="1"/>
      <c r="U41" s="2"/>
      <c r="Y41" s="34" t="s">
        <v>38</v>
      </c>
      <c r="Z41" s="34" t="s">
        <v>38</v>
      </c>
      <c r="AA41" s="34"/>
      <c r="AB41" s="34"/>
      <c r="AC41" s="34"/>
    </row>
    <row r="42" spans="1:29" s="17" customFormat="1">
      <c r="A42" s="25" t="s">
        <v>177</v>
      </c>
      <c r="B42" s="25"/>
      <c r="C42" s="13" t="s">
        <v>178</v>
      </c>
      <c r="D42" s="13" t="s">
        <v>179</v>
      </c>
      <c r="E42" s="13" t="s">
        <v>33</v>
      </c>
      <c r="F42" s="14" t="s">
        <v>180</v>
      </c>
      <c r="G42" s="15" t="str">
        <f>IF(E42="EXTERNA","CON TERCEROS","EN CARTERA")</f>
        <v>EN CARTERA</v>
      </c>
      <c r="H42" s="15"/>
      <c r="I42" s="16" t="s">
        <v>35</v>
      </c>
      <c r="J42" s="13" t="s">
        <v>36</v>
      </c>
      <c r="K42" s="13"/>
      <c r="O42" s="17" t="s">
        <v>37</v>
      </c>
      <c r="P42" s="1">
        <v>223</v>
      </c>
      <c r="Q42" s="18">
        <f>IF(O42="Trimestral",P42*4,P42*12)</f>
        <v>892</v>
      </c>
      <c r="S42" s="4"/>
      <c r="T42" s="3"/>
      <c r="U42" s="2"/>
      <c r="Y42" s="34" t="s">
        <v>38</v>
      </c>
      <c r="Z42" s="34" t="s">
        <v>38</v>
      </c>
      <c r="AA42" s="34"/>
      <c r="AB42" s="34"/>
      <c r="AC42" s="34"/>
    </row>
    <row r="43" spans="1:29" s="17" customFormat="1">
      <c r="A43" s="25" t="s">
        <v>181</v>
      </c>
      <c r="B43" s="25"/>
      <c r="C43" s="13" t="s">
        <v>182</v>
      </c>
      <c r="D43" s="13" t="s">
        <v>183</v>
      </c>
      <c r="E43" s="13" t="s">
        <v>77</v>
      </c>
      <c r="F43" s="14">
        <v>510040276</v>
      </c>
      <c r="G43" s="15" t="str">
        <f>IF(E43="EXTERNA","CON TERCEROS","EN CARTERA")</f>
        <v>EN CARTERA</v>
      </c>
      <c r="H43" s="15"/>
      <c r="I43" s="16" t="s">
        <v>35</v>
      </c>
      <c r="J43" s="13" t="s">
        <v>36</v>
      </c>
      <c r="K43" s="13"/>
      <c r="M43" s="17" t="s">
        <v>36</v>
      </c>
      <c r="O43" s="17" t="s">
        <v>37</v>
      </c>
      <c r="P43" s="3">
        <v>1065</v>
      </c>
      <c r="Q43" s="18">
        <f>IF(O43="Trimestral",P43*4,P43*12)</f>
        <v>4260</v>
      </c>
      <c r="S43" s="4"/>
      <c r="T43" s="1"/>
      <c r="U43" s="2"/>
      <c r="Y43" s="34" t="s">
        <v>38</v>
      </c>
      <c r="Z43" s="34" t="s">
        <v>38</v>
      </c>
      <c r="AA43" s="34"/>
      <c r="AB43" s="34"/>
      <c r="AC43" s="34"/>
    </row>
    <row r="44" spans="1:29" s="17" customFormat="1">
      <c r="A44" s="25" t="s">
        <v>184</v>
      </c>
      <c r="B44" s="25"/>
      <c r="C44" s="13" t="s">
        <v>185</v>
      </c>
      <c r="D44" s="13" t="s">
        <v>186</v>
      </c>
      <c r="E44" s="13" t="s">
        <v>77</v>
      </c>
      <c r="F44" s="14">
        <v>510041731</v>
      </c>
      <c r="G44" s="15" t="str">
        <f>IF(E44="EXTERNA","CON TERCEROS","EN CARTERA")</f>
        <v>EN CARTERA</v>
      </c>
      <c r="H44" s="15"/>
      <c r="I44" s="16" t="s">
        <v>35</v>
      </c>
      <c r="J44" s="13" t="s">
        <v>36</v>
      </c>
      <c r="K44" s="13"/>
      <c r="L44" s="17" t="s">
        <v>46</v>
      </c>
      <c r="M44" s="17" t="s">
        <v>36</v>
      </c>
      <c r="O44" s="17" t="s">
        <v>37</v>
      </c>
      <c r="P44" s="3">
        <v>2213</v>
      </c>
      <c r="Q44" s="18">
        <f>IF(O44="Trimestral",P44*4,P44*12)</f>
        <v>8852</v>
      </c>
      <c r="S44" s="4"/>
      <c r="T44" s="1"/>
      <c r="U44" s="2"/>
      <c r="Y44" s="34" t="s">
        <v>38</v>
      </c>
      <c r="Z44" s="34" t="s">
        <v>38</v>
      </c>
      <c r="AA44" s="34" t="s">
        <v>47</v>
      </c>
      <c r="AB44" s="34"/>
      <c r="AC44" s="34"/>
    </row>
    <row r="45" spans="1:29" s="17" customFormat="1">
      <c r="A45" s="25" t="s">
        <v>187</v>
      </c>
      <c r="B45" s="25"/>
      <c r="C45" s="13" t="s">
        <v>188</v>
      </c>
      <c r="D45" s="13" t="s">
        <v>189</v>
      </c>
      <c r="E45" s="13" t="s">
        <v>33</v>
      </c>
      <c r="F45" s="14" t="s">
        <v>190</v>
      </c>
      <c r="G45" s="15" t="str">
        <f>IF(E45="EXTERNA","CON TERCEROS","EN CARTERA")</f>
        <v>EN CARTERA</v>
      </c>
      <c r="H45" s="15"/>
      <c r="I45" s="16" t="s">
        <v>35</v>
      </c>
      <c r="J45" s="13" t="s">
        <v>36</v>
      </c>
      <c r="K45" s="13"/>
      <c r="O45" s="17" t="s">
        <v>37</v>
      </c>
      <c r="P45" s="1">
        <v>245</v>
      </c>
      <c r="Q45" s="18">
        <f>IF(O45="Trimestral",P45*4,P45*12)</f>
        <v>980</v>
      </c>
      <c r="S45" s="4"/>
      <c r="T45" s="1"/>
      <c r="U45" s="2"/>
      <c r="Y45" s="34" t="s">
        <v>38</v>
      </c>
      <c r="Z45" s="34" t="s">
        <v>38</v>
      </c>
      <c r="AA45" s="34"/>
      <c r="AB45" s="34"/>
      <c r="AC45" s="34"/>
    </row>
    <row r="46" spans="1:29" s="17" customFormat="1">
      <c r="A46" s="25" t="s">
        <v>191</v>
      </c>
      <c r="B46" s="25"/>
      <c r="C46" s="13" t="s">
        <v>192</v>
      </c>
      <c r="D46" s="13" t="s">
        <v>193</v>
      </c>
      <c r="E46" s="13" t="s">
        <v>77</v>
      </c>
      <c r="F46" s="14">
        <v>510042755</v>
      </c>
      <c r="G46" s="15" t="str">
        <f>IF(E46="EXTERNA","CON TERCEROS","EN CARTERA")</f>
        <v>EN CARTERA</v>
      </c>
      <c r="H46" s="15"/>
      <c r="I46" s="16" t="s">
        <v>194</v>
      </c>
      <c r="J46" s="13" t="s">
        <v>36</v>
      </c>
      <c r="K46" s="13"/>
      <c r="O46" s="17" t="s">
        <v>37</v>
      </c>
      <c r="P46" s="1"/>
      <c r="Q46" s="18">
        <f>IF(O46="Trimestral",P46*4,P46*12)</f>
        <v>0</v>
      </c>
      <c r="S46" s="4"/>
      <c r="T46" s="1"/>
      <c r="U46" s="2"/>
      <c r="Y46" s="34" t="s">
        <v>38</v>
      </c>
      <c r="Z46" s="34" t="s">
        <v>38</v>
      </c>
      <c r="AA46" s="34"/>
      <c r="AB46" s="34"/>
      <c r="AC46" s="34"/>
    </row>
    <row r="47" spans="1:29" s="17" customFormat="1">
      <c r="A47" s="25" t="s">
        <v>195</v>
      </c>
      <c r="B47" s="25"/>
      <c r="C47" s="13" t="s">
        <v>196</v>
      </c>
      <c r="D47" s="13" t="s">
        <v>197</v>
      </c>
      <c r="E47" s="13" t="s">
        <v>33</v>
      </c>
      <c r="F47" s="14" t="s">
        <v>198</v>
      </c>
      <c r="G47" s="15" t="str">
        <f>IF(E47="EXTERNA","CON TERCEROS","EN CARTERA")</f>
        <v>EN CARTERA</v>
      </c>
      <c r="H47" s="15"/>
      <c r="I47" s="16" t="s">
        <v>35</v>
      </c>
      <c r="J47" s="13" t="s">
        <v>36</v>
      </c>
      <c r="K47" s="13"/>
      <c r="O47" s="17" t="s">
        <v>37</v>
      </c>
      <c r="P47" s="1">
        <v>175</v>
      </c>
      <c r="Q47" s="18">
        <f>IF(O47="Trimestral",P47*4,P47*12)</f>
        <v>700</v>
      </c>
      <c r="S47" s="4"/>
      <c r="T47" s="1"/>
      <c r="U47" s="2"/>
      <c r="Y47" s="34" t="s">
        <v>38</v>
      </c>
      <c r="Z47" s="34" t="s">
        <v>38</v>
      </c>
      <c r="AA47" s="34"/>
      <c r="AB47" s="34"/>
      <c r="AC47" s="34"/>
    </row>
    <row r="48" spans="1:29" s="17" customFormat="1">
      <c r="A48" s="25" t="s">
        <v>199</v>
      </c>
      <c r="B48" s="25"/>
      <c r="C48" s="13" t="s">
        <v>200</v>
      </c>
      <c r="D48" s="13" t="s">
        <v>201</v>
      </c>
      <c r="E48" s="13" t="s">
        <v>33</v>
      </c>
      <c r="F48" s="14" t="s">
        <v>202</v>
      </c>
      <c r="G48" s="15" t="str">
        <f>IF(E48="EXTERNA","CON TERCEROS","EN CARTERA")</f>
        <v>EN CARTERA</v>
      </c>
      <c r="H48" s="15"/>
      <c r="I48" s="16" t="s">
        <v>35</v>
      </c>
      <c r="J48" s="13" t="s">
        <v>36</v>
      </c>
      <c r="K48" s="13"/>
      <c r="N48" s="17" t="s">
        <v>203</v>
      </c>
      <c r="O48" s="17" t="s">
        <v>37</v>
      </c>
      <c r="P48" s="1">
        <v>457</v>
      </c>
      <c r="Q48" s="18">
        <f>IF(O48="Trimestral",P48*4,P48*12)</f>
        <v>1828</v>
      </c>
      <c r="S48" s="4"/>
      <c r="T48" s="1"/>
      <c r="U48" s="2"/>
      <c r="Y48" s="34" t="s">
        <v>38</v>
      </c>
      <c r="Z48" s="34" t="s">
        <v>38</v>
      </c>
      <c r="AA48" s="34"/>
      <c r="AB48" s="34"/>
      <c r="AC48" s="34"/>
    </row>
    <row r="49" spans="1:30" s="17" customFormat="1">
      <c r="A49" s="25" t="s">
        <v>204</v>
      </c>
      <c r="B49" s="25"/>
      <c r="C49" s="13" t="s">
        <v>205</v>
      </c>
      <c r="D49" s="13" t="s">
        <v>206</v>
      </c>
      <c r="E49" s="13" t="s">
        <v>33</v>
      </c>
      <c r="F49" s="14" t="s">
        <v>207</v>
      </c>
      <c r="G49" s="15" t="str">
        <f>IF(E49="EXTERNA","CON TERCEROS","EN CARTERA")</f>
        <v>EN CARTERA</v>
      </c>
      <c r="H49" s="15"/>
      <c r="I49" s="16" t="s">
        <v>35</v>
      </c>
      <c r="J49" s="13" t="s">
        <v>36</v>
      </c>
      <c r="K49" s="13"/>
      <c r="M49" s="17" t="s">
        <v>36</v>
      </c>
      <c r="O49" s="17" t="s">
        <v>37</v>
      </c>
      <c r="P49" s="1">
        <v>373</v>
      </c>
      <c r="Q49" s="18">
        <f>IF(O49="Trimestral",P49*4,P49*12)</f>
        <v>1492</v>
      </c>
      <c r="S49" s="4"/>
      <c r="T49" s="1"/>
      <c r="U49" s="2"/>
      <c r="Y49" s="34" t="s">
        <v>38</v>
      </c>
      <c r="Z49" s="34" t="s">
        <v>38</v>
      </c>
      <c r="AA49" s="34"/>
      <c r="AB49" s="34"/>
      <c r="AC49" s="34"/>
    </row>
    <row r="50" spans="1:30" s="17" customFormat="1">
      <c r="A50" s="25" t="s">
        <v>208</v>
      </c>
      <c r="B50" s="25"/>
      <c r="C50" s="13" t="s">
        <v>209</v>
      </c>
      <c r="D50" s="13" t="s">
        <v>210</v>
      </c>
      <c r="E50" s="13" t="s">
        <v>42</v>
      </c>
      <c r="F50" s="14"/>
      <c r="G50" s="15" t="str">
        <f>IF(E50="EXTERNA","CON TERCEROS","EN CARTERA")</f>
        <v>CON TERCEROS</v>
      </c>
      <c r="H50" s="15"/>
      <c r="I50" s="16" t="s">
        <v>35</v>
      </c>
      <c r="J50" s="13" t="s">
        <v>36</v>
      </c>
      <c r="K50" s="13"/>
      <c r="O50" s="17" t="s">
        <v>37</v>
      </c>
      <c r="P50" s="1">
        <v>212</v>
      </c>
      <c r="Q50" s="18">
        <f>IF(O50="Trimestral",P50*4,P50*12)</f>
        <v>848</v>
      </c>
      <c r="S50" s="4"/>
      <c r="T50" s="1"/>
      <c r="U50" s="2"/>
      <c r="Y50" s="34" t="s">
        <v>38</v>
      </c>
      <c r="Z50" s="34" t="s">
        <v>38</v>
      </c>
      <c r="AA50" s="34"/>
      <c r="AB50" s="34"/>
      <c r="AC50" s="34"/>
    </row>
    <row r="51" spans="1:30" s="17" customFormat="1">
      <c r="A51" s="25" t="s">
        <v>211</v>
      </c>
      <c r="B51" s="25"/>
      <c r="C51" s="13" t="s">
        <v>212</v>
      </c>
      <c r="D51" s="13" t="s">
        <v>213</v>
      </c>
      <c r="E51" s="13" t="s">
        <v>42</v>
      </c>
      <c r="F51" s="14">
        <v>8312100004432</v>
      </c>
      <c r="G51" s="15" t="str">
        <f>IF(E51="EXTERNA","CON TERCEROS","EN CARTERA")</f>
        <v>CON TERCEROS</v>
      </c>
      <c r="H51" s="15"/>
      <c r="I51" s="16" t="s">
        <v>35</v>
      </c>
      <c r="J51" s="13" t="s">
        <v>36</v>
      </c>
      <c r="K51" s="13"/>
      <c r="L51" s="17" t="s">
        <v>46</v>
      </c>
      <c r="O51" s="17" t="s">
        <v>37</v>
      </c>
      <c r="P51" s="1">
        <v>367</v>
      </c>
      <c r="Q51" s="18">
        <f>IF(O51="Trimestral",P51*4,P51*12)</f>
        <v>1468</v>
      </c>
      <c r="S51" s="4"/>
      <c r="T51" s="1"/>
      <c r="U51" s="2"/>
      <c r="Y51" s="34" t="s">
        <v>38</v>
      </c>
      <c r="Z51" s="34" t="s">
        <v>38</v>
      </c>
      <c r="AA51" s="34" t="s">
        <v>47</v>
      </c>
      <c r="AB51" s="34"/>
      <c r="AC51" s="34"/>
    </row>
    <row r="52" spans="1:30" s="17" customFormat="1" ht="15" customHeight="1">
      <c r="A52" s="25" t="s">
        <v>214</v>
      </c>
      <c r="B52" s="25"/>
      <c r="C52" s="13" t="s">
        <v>215</v>
      </c>
      <c r="D52" s="13" t="s">
        <v>216</v>
      </c>
      <c r="E52" s="13" t="s">
        <v>59</v>
      </c>
      <c r="F52" s="14">
        <v>761900003068</v>
      </c>
      <c r="G52" s="15" t="str">
        <f>IF(E52="EXTERNA","CON TERCEROS","EN CARTERA")</f>
        <v>EN CARTERA</v>
      </c>
      <c r="H52" s="15"/>
      <c r="I52" s="16" t="s">
        <v>35</v>
      </c>
      <c r="J52" s="13" t="s">
        <v>36</v>
      </c>
      <c r="K52" s="13"/>
      <c r="L52" s="17" t="s">
        <v>46</v>
      </c>
      <c r="O52" s="17" t="s">
        <v>37</v>
      </c>
      <c r="P52" s="3">
        <v>1096</v>
      </c>
      <c r="Q52" s="18">
        <f>IF(O52="Trimestral",P52*4,P52*12)</f>
        <v>4384</v>
      </c>
      <c r="S52" s="4"/>
      <c r="T52" s="1"/>
      <c r="U52" s="2"/>
      <c r="Y52" s="34" t="s">
        <v>38</v>
      </c>
      <c r="Z52" s="34" t="s">
        <v>38</v>
      </c>
      <c r="AA52" s="34"/>
      <c r="AB52" s="34"/>
      <c r="AC52" s="34"/>
    </row>
    <row r="53" spans="1:30" s="17" customFormat="1" ht="16.5" customHeight="1">
      <c r="A53" s="25" t="s">
        <v>217</v>
      </c>
      <c r="B53" s="25"/>
      <c r="C53" s="13" t="s">
        <v>218</v>
      </c>
      <c r="D53" s="13" t="s">
        <v>219</v>
      </c>
      <c r="E53" s="13" t="s">
        <v>77</v>
      </c>
      <c r="F53" s="14" t="s">
        <v>220</v>
      </c>
      <c r="G53" s="15" t="str">
        <f>IF(E53="EXTERNA","CON TERCEROS","EN CARTERA")</f>
        <v>EN CARTERA</v>
      </c>
      <c r="H53" s="15"/>
      <c r="I53" s="16" t="s">
        <v>35</v>
      </c>
      <c r="J53" s="13" t="s">
        <v>36</v>
      </c>
      <c r="K53" s="13"/>
      <c r="L53" s="17" t="s">
        <v>73</v>
      </c>
      <c r="O53" s="17" t="s">
        <v>37</v>
      </c>
      <c r="P53" s="3">
        <v>1073</v>
      </c>
      <c r="Q53" s="18">
        <f>IF(O53="Trimestral",P53*4,P53*12)</f>
        <v>4292</v>
      </c>
      <c r="S53" s="4"/>
      <c r="T53" s="1"/>
      <c r="U53" s="2"/>
      <c r="Y53" s="34" t="s">
        <v>38</v>
      </c>
      <c r="Z53" s="34" t="s">
        <v>38</v>
      </c>
      <c r="AA53" s="34" t="s">
        <v>47</v>
      </c>
      <c r="AB53" s="34"/>
      <c r="AC53" s="34"/>
    </row>
    <row r="54" spans="1:30" s="17" customFormat="1">
      <c r="A54" s="25" t="s">
        <v>221</v>
      </c>
      <c r="B54" s="25"/>
      <c r="C54" s="13" t="s">
        <v>222</v>
      </c>
      <c r="D54" s="13" t="s">
        <v>223</v>
      </c>
      <c r="E54" s="13" t="s">
        <v>59</v>
      </c>
      <c r="F54" s="14">
        <v>761180208659</v>
      </c>
      <c r="G54" s="15" t="str">
        <f>IF(E54="EXTERNA","CON TERCEROS","EN CARTERA")</f>
        <v>EN CARTERA</v>
      </c>
      <c r="H54" s="15"/>
      <c r="I54" s="16" t="s">
        <v>35</v>
      </c>
      <c r="J54" s="13" t="s">
        <v>36</v>
      </c>
      <c r="K54" s="13"/>
      <c r="M54" s="17" t="s">
        <v>36</v>
      </c>
      <c r="O54" s="17" t="s">
        <v>37</v>
      </c>
      <c r="P54" s="1">
        <v>490</v>
      </c>
      <c r="Q54" s="18">
        <f>IF(O54="Trimestral",P54*4,P54*12)</f>
        <v>1960</v>
      </c>
      <c r="S54" s="4"/>
      <c r="T54" s="1"/>
      <c r="U54" s="2"/>
      <c r="Y54" s="34" t="s">
        <v>38</v>
      </c>
      <c r="Z54" s="34" t="s">
        <v>38</v>
      </c>
      <c r="AA54" s="34" t="s">
        <v>47</v>
      </c>
      <c r="AB54" s="34"/>
      <c r="AC54" s="34"/>
    </row>
    <row r="55" spans="1:30" s="17" customFormat="1">
      <c r="A55" s="25" t="s">
        <v>224</v>
      </c>
      <c r="B55" s="25"/>
      <c r="C55" s="13" t="s">
        <v>225</v>
      </c>
      <c r="D55" s="13" t="s">
        <v>226</v>
      </c>
      <c r="E55" s="13" t="s">
        <v>77</v>
      </c>
      <c r="F55" s="14">
        <v>510041562</v>
      </c>
      <c r="G55" s="15" t="str">
        <f>IF(E55="EXTERNA","CON TERCEROS","EN CARTERA")</f>
        <v>EN CARTERA</v>
      </c>
      <c r="H55" s="15"/>
      <c r="I55" s="16" t="s">
        <v>35</v>
      </c>
      <c r="J55" s="13" t="s">
        <v>36</v>
      </c>
      <c r="K55" s="13"/>
      <c r="O55" s="17" t="s">
        <v>37</v>
      </c>
      <c r="P55" s="1">
        <v>1061</v>
      </c>
      <c r="Q55" s="18">
        <f>IF(O55="Trimestral",P55*4,P55*12)</f>
        <v>4244</v>
      </c>
      <c r="S55" s="4"/>
      <c r="T55" s="1"/>
      <c r="U55" s="2"/>
      <c r="Y55" s="34" t="s">
        <v>38</v>
      </c>
      <c r="Z55" s="34" t="s">
        <v>38</v>
      </c>
      <c r="AA55" s="34" t="s">
        <v>47</v>
      </c>
      <c r="AB55" s="34"/>
      <c r="AC55" s="34"/>
    </row>
    <row r="56" spans="1:30" s="17" customFormat="1">
      <c r="A56" s="25" t="s">
        <v>227</v>
      </c>
      <c r="B56" s="25"/>
      <c r="C56" s="13" t="s">
        <v>228</v>
      </c>
      <c r="D56" s="13" t="s">
        <v>229</v>
      </c>
      <c r="E56" s="13" t="s">
        <v>42</v>
      </c>
      <c r="F56" s="14"/>
      <c r="G56" s="15" t="str">
        <f>IF(E56="EXTERNA","CON TERCEROS","EN CARTERA")</f>
        <v>CON TERCEROS</v>
      </c>
      <c r="H56" s="15"/>
      <c r="I56" s="16" t="s">
        <v>35</v>
      </c>
      <c r="J56" s="13" t="s">
        <v>36</v>
      </c>
      <c r="K56" s="13"/>
      <c r="O56" s="17" t="s">
        <v>37</v>
      </c>
      <c r="P56" s="1">
        <v>144</v>
      </c>
      <c r="Q56" s="18">
        <f>IF(O56="Trimestral",P56*4,P56*12)</f>
        <v>576</v>
      </c>
      <c r="S56" s="4"/>
      <c r="T56" s="1"/>
      <c r="U56" s="2"/>
      <c r="Y56" s="36" t="s">
        <v>47</v>
      </c>
      <c r="Z56" s="34" t="s">
        <v>38</v>
      </c>
      <c r="AA56" s="34"/>
      <c r="AB56" s="34"/>
      <c r="AC56" s="34"/>
    </row>
    <row r="57" spans="1:30" s="17" customFormat="1">
      <c r="A57" s="25" t="s">
        <v>230</v>
      </c>
      <c r="B57" s="25"/>
      <c r="C57" s="13" t="s">
        <v>231</v>
      </c>
      <c r="D57" s="13" t="s">
        <v>232</v>
      </c>
      <c r="E57" s="13" t="s">
        <v>59</v>
      </c>
      <c r="F57" s="14">
        <v>781182027413</v>
      </c>
      <c r="G57" s="15" t="str">
        <f>IF(E57="EXTERNA","CON TERCEROS","EN CARTERA")</f>
        <v>EN CARTERA</v>
      </c>
      <c r="H57" s="15"/>
      <c r="I57" s="16" t="s">
        <v>35</v>
      </c>
      <c r="J57" s="13" t="s">
        <v>36</v>
      </c>
      <c r="K57" s="13"/>
      <c r="O57" s="17" t="s">
        <v>37</v>
      </c>
      <c r="P57" s="1">
        <v>742</v>
      </c>
      <c r="Q57" s="18">
        <f>IF(O57="Trimestral",P57*4,P57*12)</f>
        <v>2968</v>
      </c>
      <c r="S57" s="4"/>
      <c r="T57" s="1"/>
      <c r="U57" s="2"/>
      <c r="Y57" s="34" t="s">
        <v>233</v>
      </c>
      <c r="Z57" s="34" t="s">
        <v>47</v>
      </c>
      <c r="AA57" s="34"/>
      <c r="AB57" s="34"/>
      <c r="AC57" s="34"/>
    </row>
    <row r="58" spans="1:30" s="17" customFormat="1">
      <c r="A58" s="25" t="s">
        <v>234</v>
      </c>
      <c r="B58" s="25"/>
      <c r="C58" s="13" t="s">
        <v>235</v>
      </c>
      <c r="D58" s="13" t="s">
        <v>236</v>
      </c>
      <c r="E58" s="13" t="s">
        <v>42</v>
      </c>
      <c r="F58" s="14"/>
      <c r="G58" s="15" t="str">
        <f>IF(E58="EXTERNA","CON TERCEROS","EN CARTERA")</f>
        <v>CON TERCEROS</v>
      </c>
      <c r="H58" s="15"/>
      <c r="I58" s="16" t="s">
        <v>35</v>
      </c>
      <c r="J58" s="13" t="s">
        <v>36</v>
      </c>
      <c r="K58" s="13"/>
      <c r="L58" s="17" t="s">
        <v>46</v>
      </c>
      <c r="N58" s="17" t="s">
        <v>237</v>
      </c>
      <c r="O58" s="17" t="s">
        <v>37</v>
      </c>
      <c r="P58" s="1">
        <v>393</v>
      </c>
      <c r="Q58" s="18">
        <f>IF(O58="Trimestral",P58*4,P58*12)</f>
        <v>1572</v>
      </c>
      <c r="S58" s="4"/>
      <c r="T58" s="1"/>
      <c r="U58" s="2"/>
      <c r="Y58" s="36" t="s">
        <v>47</v>
      </c>
      <c r="Z58" s="34" t="s">
        <v>38</v>
      </c>
      <c r="AA58" s="34" t="s">
        <v>47</v>
      </c>
      <c r="AB58" s="34"/>
      <c r="AC58" s="34"/>
    </row>
    <row r="59" spans="1:30" s="17" customFormat="1">
      <c r="A59" s="25" t="s">
        <v>238</v>
      </c>
      <c r="B59" s="25"/>
      <c r="C59" s="13" t="s">
        <v>239</v>
      </c>
      <c r="D59" s="13" t="s">
        <v>240</v>
      </c>
      <c r="E59" s="13" t="s">
        <v>59</v>
      </c>
      <c r="F59" s="14">
        <v>761580371583</v>
      </c>
      <c r="G59" s="15" t="str">
        <f>IF(E59="EXTERNA","CON TERCEROS","EN CARTERA")</f>
        <v>EN CARTERA</v>
      </c>
      <c r="H59" s="15"/>
      <c r="I59" s="16" t="s">
        <v>35</v>
      </c>
      <c r="J59" s="13" t="s">
        <v>36</v>
      </c>
      <c r="K59" s="13"/>
      <c r="O59" s="17" t="s">
        <v>37</v>
      </c>
      <c r="P59" s="3">
        <v>1857</v>
      </c>
      <c r="Q59" s="18">
        <f>IF(O59="Trimestral",P59*4,P59*12)</f>
        <v>7428</v>
      </c>
      <c r="Y59" s="34" t="s">
        <v>38</v>
      </c>
      <c r="Z59" s="34" t="s">
        <v>38</v>
      </c>
      <c r="AA59" s="34"/>
      <c r="AB59" s="34"/>
      <c r="AC59" s="34"/>
    </row>
    <row r="60" spans="1:30" s="17" customFormat="1" ht="37.5">
      <c r="A60" s="30" t="s">
        <v>241</v>
      </c>
      <c r="B60" s="30"/>
      <c r="C60" s="13" t="s">
        <v>242</v>
      </c>
      <c r="D60" s="24" t="s">
        <v>243</v>
      </c>
      <c r="E60" s="13" t="s">
        <v>42</v>
      </c>
      <c r="F60" s="14"/>
      <c r="G60" s="15" t="str">
        <f>IF(E60="EXTERNA","CON TERCEROS","EN CARTERA")</f>
        <v>CON TERCEROS</v>
      </c>
      <c r="H60" s="15"/>
      <c r="I60" s="16" t="s">
        <v>35</v>
      </c>
      <c r="J60" s="13" t="s">
        <v>36</v>
      </c>
      <c r="K60" s="13"/>
      <c r="L60" s="17" t="s">
        <v>46</v>
      </c>
      <c r="O60" s="17" t="s">
        <v>37</v>
      </c>
      <c r="P60" s="1">
        <v>1225</v>
      </c>
      <c r="Q60" s="18">
        <f>IF(O60="Trimestral",P60*4,P60*12)</f>
        <v>4900</v>
      </c>
      <c r="S60" s="26"/>
      <c r="T60" s="26"/>
      <c r="U60" s="26"/>
      <c r="V60" s="26"/>
      <c r="W60" s="26"/>
      <c r="X60" s="26"/>
      <c r="Y60" s="34" t="s">
        <v>38</v>
      </c>
      <c r="Z60" s="34" t="s">
        <v>47</v>
      </c>
      <c r="AA60" s="34"/>
      <c r="AB60" s="34"/>
      <c r="AC60" s="34"/>
      <c r="AD60" s="26"/>
    </row>
    <row r="61" spans="1:30" s="17" customFormat="1">
      <c r="A61" s="25" t="s">
        <v>244</v>
      </c>
      <c r="B61" s="25"/>
      <c r="C61" s="13" t="s">
        <v>245</v>
      </c>
      <c r="D61" s="13" t="s">
        <v>246</v>
      </c>
      <c r="E61" s="13" t="s">
        <v>59</v>
      </c>
      <c r="F61" s="21">
        <v>761680173528</v>
      </c>
      <c r="G61" s="15" t="str">
        <f>IF(E61="EXTERNA","CON TERCEROS","EN CARTERA")</f>
        <v>EN CARTERA</v>
      </c>
      <c r="H61" s="15"/>
      <c r="I61" s="16" t="s">
        <v>35</v>
      </c>
      <c r="J61" s="13" t="s">
        <v>36</v>
      </c>
      <c r="K61" s="13"/>
      <c r="L61" s="17" t="s">
        <v>247</v>
      </c>
      <c r="O61" s="17" t="s">
        <v>37</v>
      </c>
      <c r="P61" s="3">
        <v>1786</v>
      </c>
      <c r="Q61" s="18">
        <f>IF(O61="Trimestral",P61*4,P61*12)</f>
        <v>7144</v>
      </c>
      <c r="S61" s="26"/>
      <c r="T61" s="26"/>
      <c r="U61" s="26"/>
      <c r="V61" s="26"/>
      <c r="W61" s="26"/>
      <c r="X61" s="26"/>
      <c r="Y61" s="34" t="s">
        <v>38</v>
      </c>
      <c r="Z61" s="34" t="s">
        <v>38</v>
      </c>
      <c r="AA61" s="34"/>
      <c r="AB61" s="34"/>
      <c r="AC61" s="34"/>
      <c r="AD61" s="26"/>
    </row>
    <row r="62" spans="1:30" s="17" customFormat="1">
      <c r="A62" s="25" t="s">
        <v>248</v>
      </c>
      <c r="B62" s="25"/>
      <c r="C62" s="13" t="s">
        <v>249</v>
      </c>
      <c r="D62" s="13" t="s">
        <v>250</v>
      </c>
      <c r="E62" s="13" t="s">
        <v>42</v>
      </c>
      <c r="F62" s="14"/>
      <c r="G62" s="15" t="str">
        <f>IF(E62="EXTERNA","CON TERCEROS","EN CARTERA")</f>
        <v>CON TERCEROS</v>
      </c>
      <c r="H62" s="15"/>
      <c r="I62" s="16" t="s">
        <v>35</v>
      </c>
      <c r="J62" s="13" t="s">
        <v>36</v>
      </c>
      <c r="K62" s="13"/>
      <c r="O62" s="17" t="s">
        <v>37</v>
      </c>
      <c r="P62" s="1">
        <v>75</v>
      </c>
      <c r="Q62" s="18">
        <f>IF(O62="Trimestral",P62*4,P62*12)</f>
        <v>300</v>
      </c>
      <c r="S62" s="4"/>
      <c r="T62" s="1"/>
      <c r="U62" s="2"/>
      <c r="V62" s="26"/>
      <c r="W62" s="26"/>
      <c r="X62" s="26"/>
      <c r="Y62" s="34" t="s">
        <v>38</v>
      </c>
      <c r="Z62" s="34" t="s">
        <v>38</v>
      </c>
      <c r="AA62" s="34"/>
      <c r="AB62" s="34"/>
      <c r="AC62" s="34"/>
      <c r="AD62" s="26"/>
    </row>
    <row r="63" spans="1:30" s="17" customFormat="1">
      <c r="A63" s="25" t="s">
        <v>251</v>
      </c>
      <c r="B63" s="25"/>
      <c r="C63" s="13" t="s">
        <v>252</v>
      </c>
      <c r="D63" s="13" t="s">
        <v>253</v>
      </c>
      <c r="E63" s="13" t="s">
        <v>42</v>
      </c>
      <c r="F63" s="14"/>
      <c r="G63" s="15" t="str">
        <f>IF(E63="EXTERNA","CON TERCEROS","EN CARTERA")</f>
        <v>CON TERCEROS</v>
      </c>
      <c r="H63" s="15"/>
      <c r="I63" s="16" t="s">
        <v>35</v>
      </c>
      <c r="J63" s="13" t="s">
        <v>36</v>
      </c>
      <c r="K63" s="13"/>
      <c r="O63" s="17" t="s">
        <v>37</v>
      </c>
      <c r="P63" s="1">
        <v>756</v>
      </c>
      <c r="Q63" s="18">
        <f>IF(O63="Trimestral",P63*4,P63*12)</f>
        <v>3024</v>
      </c>
      <c r="S63" s="4"/>
      <c r="T63" s="1"/>
      <c r="U63" s="2"/>
      <c r="Y63" s="34" t="s">
        <v>254</v>
      </c>
      <c r="Z63" s="34" t="s">
        <v>254</v>
      </c>
      <c r="AA63" s="34"/>
      <c r="AB63" s="34"/>
      <c r="AC63" s="34"/>
    </row>
    <row r="64" spans="1:30" s="17" customFormat="1">
      <c r="A64" s="25" t="s">
        <v>255</v>
      </c>
      <c r="B64" s="25"/>
      <c r="C64" s="13" t="s">
        <v>256</v>
      </c>
      <c r="D64" s="13" t="s">
        <v>257</v>
      </c>
      <c r="E64" s="13" t="s">
        <v>72</v>
      </c>
      <c r="F64" s="14">
        <v>45261335</v>
      </c>
      <c r="G64" s="15" t="str">
        <f>IF(E64="EXTERNA","CON TERCEROS","EN CARTERA")</f>
        <v>EN CARTERA</v>
      </c>
      <c r="H64" s="15"/>
      <c r="I64" s="16" t="s">
        <v>35</v>
      </c>
      <c r="J64" s="13" t="s">
        <v>36</v>
      </c>
      <c r="K64" s="13"/>
      <c r="O64" s="17" t="s">
        <v>37</v>
      </c>
      <c r="P64" s="1">
        <v>628</v>
      </c>
      <c r="Q64" s="18">
        <f>IF(O64="Trimestral",P64*4,P64*12)</f>
        <v>2512</v>
      </c>
      <c r="S64" s="4"/>
      <c r="T64" s="1"/>
      <c r="U64" s="2"/>
      <c r="Y64" s="34" t="s">
        <v>254</v>
      </c>
      <c r="Z64" s="34" t="s">
        <v>254</v>
      </c>
      <c r="AA64" s="34"/>
      <c r="AB64" s="34"/>
      <c r="AC64" s="34"/>
    </row>
    <row r="65" spans="1:29" s="17" customFormat="1">
      <c r="A65" s="25" t="s">
        <v>258</v>
      </c>
      <c r="B65" s="25"/>
      <c r="C65" s="13" t="s">
        <v>259</v>
      </c>
      <c r="D65" s="13" t="s">
        <v>260</v>
      </c>
      <c r="E65" s="13" t="s">
        <v>261</v>
      </c>
      <c r="F65" s="14" t="s">
        <v>262</v>
      </c>
      <c r="G65" s="15" t="str">
        <f>IF(E65="EXTERNA","CON TERCEROS","EN CARTERA")</f>
        <v>EN CARTERA</v>
      </c>
      <c r="H65" s="15"/>
      <c r="I65" s="16" t="s">
        <v>38</v>
      </c>
      <c r="J65" s="13" t="s">
        <v>36</v>
      </c>
      <c r="K65" s="13"/>
      <c r="O65" s="17" t="s">
        <v>37</v>
      </c>
      <c r="P65" s="1"/>
      <c r="Q65" s="18">
        <f>IF(O65="Trimestral",P65*4,P65*12)</f>
        <v>0</v>
      </c>
      <c r="S65" s="4"/>
      <c r="T65" s="1"/>
      <c r="U65" s="2" t="s">
        <v>263</v>
      </c>
      <c r="Y65" s="34" t="s">
        <v>254</v>
      </c>
      <c r="Z65" s="34" t="s">
        <v>254</v>
      </c>
      <c r="AA65" s="34"/>
      <c r="AB65" s="34"/>
      <c r="AC65" s="34"/>
    </row>
    <row r="66" spans="1:29" s="17" customFormat="1">
      <c r="A66" s="25" t="s">
        <v>264</v>
      </c>
      <c r="B66" s="25"/>
      <c r="C66" s="13" t="s">
        <v>265</v>
      </c>
      <c r="D66" s="13" t="s">
        <v>86</v>
      </c>
      <c r="E66" s="13" t="s">
        <v>77</v>
      </c>
      <c r="F66" s="14">
        <v>510039542</v>
      </c>
      <c r="G66" s="15" t="str">
        <f>IF(E66="EXTERNA","CON TERCEROS","EN CARTERA")</f>
        <v>EN CARTERA</v>
      </c>
      <c r="H66" s="15"/>
      <c r="I66" s="16" t="s">
        <v>35</v>
      </c>
      <c r="J66" s="13" t="s">
        <v>36</v>
      </c>
      <c r="K66" s="13"/>
      <c r="M66" s="17" t="s">
        <v>36</v>
      </c>
      <c r="O66" s="17" t="s">
        <v>37</v>
      </c>
      <c r="P66" s="3">
        <v>1082</v>
      </c>
      <c r="Q66" s="18">
        <f>IF(O66="Trimestral",P66*4,P66*12)</f>
        <v>4328</v>
      </c>
      <c r="S66" s="4"/>
      <c r="T66" s="3"/>
      <c r="U66" s="2"/>
      <c r="Y66" s="34" t="s">
        <v>254</v>
      </c>
      <c r="Z66" s="34" t="s">
        <v>254</v>
      </c>
      <c r="AA66" s="34"/>
      <c r="AB66" s="34"/>
      <c r="AC66" s="34"/>
    </row>
    <row r="67" spans="1:29" s="17" customFormat="1">
      <c r="A67" s="25" t="s">
        <v>266</v>
      </c>
      <c r="B67" s="25"/>
      <c r="C67" s="13" t="s">
        <v>267</v>
      </c>
      <c r="D67" s="13" t="s">
        <v>268</v>
      </c>
      <c r="E67" s="13" t="s">
        <v>42</v>
      </c>
      <c r="F67" s="14"/>
      <c r="G67" s="15" t="str">
        <f>IF(E67="EXTERNA","CON TERCEROS","EN CARTERA")</f>
        <v>CON TERCEROS</v>
      </c>
      <c r="H67" s="15"/>
      <c r="I67" s="16" t="s">
        <v>35</v>
      </c>
      <c r="J67" s="13" t="s">
        <v>36</v>
      </c>
      <c r="K67" s="13"/>
      <c r="O67" s="17" t="s">
        <v>37</v>
      </c>
      <c r="P67" s="1">
        <v>723</v>
      </c>
      <c r="Q67" s="18">
        <f>IF(O67="Trimestral",P67*4,P67*12)</f>
        <v>2892</v>
      </c>
      <c r="S67" s="4"/>
      <c r="T67" s="3"/>
      <c r="U67" s="2"/>
      <c r="Y67" s="34" t="s">
        <v>254</v>
      </c>
      <c r="Z67" s="34" t="s">
        <v>254</v>
      </c>
      <c r="AA67" s="34"/>
      <c r="AB67" s="34"/>
      <c r="AC67" s="34"/>
    </row>
    <row r="68" spans="1:29" s="17" customFormat="1">
      <c r="A68" s="25" t="s">
        <v>269</v>
      </c>
      <c r="B68" s="25"/>
      <c r="C68" s="13" t="s">
        <v>270</v>
      </c>
      <c r="D68" s="13" t="s">
        <v>271</v>
      </c>
      <c r="E68" s="13" t="s">
        <v>42</v>
      </c>
      <c r="F68" s="14"/>
      <c r="G68" s="15" t="str">
        <f>IF(E68="EXTERNA","CON TERCEROS","EN CARTERA")</f>
        <v>CON TERCEROS</v>
      </c>
      <c r="H68" s="15"/>
      <c r="I68" s="16" t="s">
        <v>35</v>
      </c>
      <c r="J68" s="13" t="s">
        <v>36</v>
      </c>
      <c r="K68" s="13"/>
      <c r="O68" s="17" t="s">
        <v>37</v>
      </c>
      <c r="P68" s="1">
        <v>107</v>
      </c>
      <c r="Q68" s="18">
        <f>IF(O68="Trimestral",P68*4,P68*12)</f>
        <v>428</v>
      </c>
      <c r="S68" s="4"/>
      <c r="T68" s="1"/>
      <c r="U68" s="2"/>
      <c r="Y68" s="34" t="s">
        <v>254</v>
      </c>
      <c r="Z68" s="34" t="s">
        <v>254</v>
      </c>
      <c r="AA68" s="34"/>
      <c r="AB68" s="34"/>
      <c r="AC68" s="34"/>
    </row>
    <row r="69" spans="1:29" s="17" customFormat="1">
      <c r="A69" s="25" t="s">
        <v>272</v>
      </c>
      <c r="B69" s="25"/>
      <c r="C69" s="13" t="s">
        <v>273</v>
      </c>
      <c r="D69" s="13" t="s">
        <v>274</v>
      </c>
      <c r="E69" s="13" t="s">
        <v>42</v>
      </c>
      <c r="F69" s="14"/>
      <c r="G69" s="15" t="str">
        <f>IF(E69="EXTERNA","CON TERCEROS","EN CARTERA")</f>
        <v>CON TERCEROS</v>
      </c>
      <c r="H69" s="15"/>
      <c r="I69" s="16" t="s">
        <v>35</v>
      </c>
      <c r="J69" s="13" t="s">
        <v>36</v>
      </c>
      <c r="K69" s="13"/>
      <c r="O69" s="17" t="s">
        <v>37</v>
      </c>
      <c r="P69" s="1">
        <v>206</v>
      </c>
      <c r="Q69" s="18">
        <f>IF(O69="Trimestral",P69*4,P69*12)</f>
        <v>824</v>
      </c>
      <c r="S69" s="4"/>
      <c r="T69" s="1"/>
      <c r="U69" s="2"/>
      <c r="Y69" s="34" t="s">
        <v>254</v>
      </c>
      <c r="Z69" s="34" t="s">
        <v>254</v>
      </c>
      <c r="AA69" s="34"/>
      <c r="AB69" s="34"/>
      <c r="AC69" s="34"/>
    </row>
    <row r="70" spans="1:29" s="17" customFormat="1">
      <c r="A70" s="1" t="s">
        <v>275</v>
      </c>
      <c r="B70" s="1"/>
      <c r="C70" s="28" t="s">
        <v>276</v>
      </c>
      <c r="D70" s="28" t="s">
        <v>275</v>
      </c>
      <c r="E70" s="13" t="s">
        <v>261</v>
      </c>
      <c r="F70" s="29">
        <v>761280092021</v>
      </c>
      <c r="G70" s="15" t="str">
        <f>IF(E70="EXTERNA","CON TERCEROS","EN CARTERA")</f>
        <v>EN CARTERA</v>
      </c>
      <c r="H70" s="15"/>
      <c r="I70" s="25" t="s">
        <v>38</v>
      </c>
      <c r="J70" s="13" t="s">
        <v>36</v>
      </c>
      <c r="K70" s="25"/>
      <c r="L70" s="26"/>
      <c r="M70" s="26"/>
      <c r="N70" s="26"/>
      <c r="P70" s="27"/>
      <c r="Q70" s="27"/>
      <c r="R70" s="26"/>
      <c r="S70" s="4"/>
      <c r="T70" s="1"/>
      <c r="U70" s="2"/>
      <c r="Y70" s="34" t="s">
        <v>254</v>
      </c>
      <c r="Z70" s="34" t="s">
        <v>254</v>
      </c>
      <c r="AA70" s="34"/>
      <c r="AB70" s="34"/>
      <c r="AC70" s="34"/>
    </row>
    <row r="71" spans="1:29" s="17" customFormat="1">
      <c r="A71" s="25" t="s">
        <v>277</v>
      </c>
      <c r="B71" s="25"/>
      <c r="C71" s="13" t="s">
        <v>278</v>
      </c>
      <c r="D71" s="13" t="s">
        <v>279</v>
      </c>
      <c r="E71" s="13" t="s">
        <v>33</v>
      </c>
      <c r="F71" s="14" t="s">
        <v>280</v>
      </c>
      <c r="G71" s="15" t="str">
        <f>IF(E71="EXTERNA","CON TERCEROS","EN CARTERA")</f>
        <v>EN CARTERA</v>
      </c>
      <c r="H71" s="15"/>
      <c r="I71" s="16" t="s">
        <v>35</v>
      </c>
      <c r="J71" s="13" t="s">
        <v>36</v>
      </c>
      <c r="K71" s="13"/>
      <c r="O71" s="17" t="s">
        <v>281</v>
      </c>
      <c r="P71" s="18"/>
      <c r="Q71" s="18">
        <f>IF(O71="Trimestral",P71*4,P71*12)</f>
        <v>0</v>
      </c>
      <c r="S71" s="4"/>
      <c r="T71" s="1"/>
      <c r="U71" s="2"/>
      <c r="Y71" s="34" t="s">
        <v>254</v>
      </c>
      <c r="Z71" s="34" t="s">
        <v>254</v>
      </c>
      <c r="AA71" s="34"/>
      <c r="AB71" s="34"/>
      <c r="AC71" s="34"/>
    </row>
    <row r="72" spans="1:29" s="17" customFormat="1">
      <c r="A72" s="1" t="s">
        <v>282</v>
      </c>
      <c r="B72" s="1"/>
      <c r="C72" s="28" t="s">
        <v>283</v>
      </c>
      <c r="D72" s="28" t="s">
        <v>282</v>
      </c>
      <c r="E72" s="13" t="s">
        <v>261</v>
      </c>
      <c r="F72" s="29">
        <v>762100012981</v>
      </c>
      <c r="G72" s="15" t="str">
        <f>IF(E72="EXTERNA","CON TERCEROS","EN CARTERA")</f>
        <v>EN CARTERA</v>
      </c>
      <c r="H72" s="15"/>
      <c r="I72" s="25" t="s">
        <v>38</v>
      </c>
      <c r="J72" s="13" t="s">
        <v>36</v>
      </c>
      <c r="K72" s="25"/>
      <c r="L72" s="26"/>
      <c r="M72" s="26"/>
      <c r="N72" s="26"/>
      <c r="P72" s="27"/>
      <c r="Q72" s="27"/>
      <c r="R72" s="26"/>
      <c r="S72" s="4"/>
      <c r="T72" s="1"/>
      <c r="U72" s="2"/>
      <c r="Y72" s="34" t="s">
        <v>254</v>
      </c>
      <c r="Z72" s="34" t="s">
        <v>254</v>
      </c>
      <c r="AA72" s="34"/>
      <c r="AB72" s="34"/>
      <c r="AC72" s="34"/>
    </row>
    <row r="73" spans="1:29" s="17" customFormat="1">
      <c r="A73" s="25" t="s">
        <v>284</v>
      </c>
      <c r="B73" s="25"/>
      <c r="C73" s="13" t="s">
        <v>285</v>
      </c>
      <c r="D73" s="13" t="s">
        <v>286</v>
      </c>
      <c r="E73" s="13" t="s">
        <v>42</v>
      </c>
      <c r="F73" s="14"/>
      <c r="G73" s="15" t="str">
        <f>IF(E73="EXTERNA","CON TERCEROS","EN CARTERA")</f>
        <v>CON TERCEROS</v>
      </c>
      <c r="H73" s="15"/>
      <c r="I73" s="16" t="s">
        <v>35</v>
      </c>
      <c r="J73" s="13" t="s">
        <v>36</v>
      </c>
      <c r="K73" s="13"/>
      <c r="O73" s="17" t="s">
        <v>100</v>
      </c>
      <c r="P73" s="1">
        <f>586.65/3</f>
        <v>195.54999999999998</v>
      </c>
      <c r="Q73" s="18">
        <f>IF(O73="Trimestral",P73*4,P73*12)</f>
        <v>2346.6</v>
      </c>
      <c r="S73" s="4"/>
      <c r="T73" s="1"/>
      <c r="U73" s="2"/>
      <c r="Y73" s="34" t="s">
        <v>254</v>
      </c>
      <c r="Z73" s="34" t="s">
        <v>254</v>
      </c>
      <c r="AA73" s="34"/>
      <c r="AB73" s="34"/>
      <c r="AC73" s="34"/>
    </row>
    <row r="74" spans="1:29" s="17" customFormat="1">
      <c r="A74" s="25" t="s">
        <v>287</v>
      </c>
      <c r="B74" s="25"/>
      <c r="C74" s="13" t="s">
        <v>288</v>
      </c>
      <c r="D74" s="13" t="s">
        <v>289</v>
      </c>
      <c r="E74" s="13" t="s">
        <v>42</v>
      </c>
      <c r="F74" s="14"/>
      <c r="G74" s="15" t="str">
        <f>IF(E74="EXTERNA","CON TERCEROS","EN CARTERA")</f>
        <v>CON TERCEROS</v>
      </c>
      <c r="H74" s="15"/>
      <c r="I74" s="16" t="s">
        <v>35</v>
      </c>
      <c r="J74" s="13" t="s">
        <v>36</v>
      </c>
      <c r="K74" s="13"/>
      <c r="O74" s="17" t="s">
        <v>100</v>
      </c>
      <c r="P74" s="1">
        <f>115.11/3</f>
        <v>38.369999999999997</v>
      </c>
      <c r="Q74" s="18">
        <f>IF(O74="Trimestral",P74*4,P74*12)</f>
        <v>460.43999999999994</v>
      </c>
      <c r="S74" s="4"/>
      <c r="T74" s="1"/>
      <c r="U74" s="2"/>
      <c r="Y74" s="34" t="s">
        <v>254</v>
      </c>
      <c r="Z74" s="34" t="s">
        <v>254</v>
      </c>
      <c r="AA74" s="34"/>
      <c r="AB74" s="34"/>
      <c r="AC74" s="34"/>
    </row>
    <row r="75" spans="1:29" s="17" customFormat="1">
      <c r="A75" s="25" t="s">
        <v>290</v>
      </c>
      <c r="B75" s="25"/>
      <c r="C75" s="13" t="s">
        <v>291</v>
      </c>
      <c r="D75" s="13" t="s">
        <v>292</v>
      </c>
      <c r="E75" s="13" t="s">
        <v>42</v>
      </c>
      <c r="F75" s="14"/>
      <c r="G75" s="15" t="str">
        <f>IF(E75="EXTERNA","CON TERCEROS","EN CARTERA")</f>
        <v>CON TERCEROS</v>
      </c>
      <c r="H75" s="15"/>
      <c r="I75" s="16" t="s">
        <v>35</v>
      </c>
      <c r="J75" s="13" t="s">
        <v>36</v>
      </c>
      <c r="K75" s="13"/>
      <c r="O75" s="17" t="s">
        <v>100</v>
      </c>
      <c r="P75" s="3">
        <f>1330.32/3</f>
        <v>443.44</v>
      </c>
      <c r="Q75" s="18">
        <f>IF(O75="Trimestral",P75*4,P75*12)</f>
        <v>5321.28</v>
      </c>
      <c r="S75" s="4"/>
      <c r="T75" s="1"/>
      <c r="U75" s="2"/>
      <c r="Y75" s="34" t="s">
        <v>254</v>
      </c>
      <c r="Z75" s="34" t="s">
        <v>254</v>
      </c>
      <c r="AA75" s="34"/>
      <c r="AB75" s="34"/>
      <c r="AC75" s="34"/>
    </row>
    <row r="76" spans="1:29" s="17" customFormat="1">
      <c r="A76" s="1" t="s">
        <v>293</v>
      </c>
      <c r="B76" s="1"/>
      <c r="C76" s="28" t="s">
        <v>294</v>
      </c>
      <c r="D76" s="28" t="s">
        <v>293</v>
      </c>
      <c r="E76" s="13" t="s">
        <v>261</v>
      </c>
      <c r="F76" s="29">
        <v>762000010128</v>
      </c>
      <c r="G76" s="15" t="str">
        <f>IF(E76="EXTERNA","CON TERCEROS","EN CARTERA")</f>
        <v>EN CARTERA</v>
      </c>
      <c r="H76" s="15"/>
      <c r="I76" s="25" t="s">
        <v>38</v>
      </c>
      <c r="J76" s="13" t="s">
        <v>36</v>
      </c>
      <c r="K76" s="25"/>
      <c r="L76" s="26"/>
      <c r="M76" s="26"/>
      <c r="N76" s="26"/>
      <c r="P76" s="27"/>
      <c r="Q76" s="27"/>
      <c r="R76" s="26"/>
      <c r="S76" s="4"/>
      <c r="T76" s="1"/>
      <c r="U76" s="2"/>
      <c r="Y76" s="34" t="s">
        <v>254</v>
      </c>
      <c r="Z76" s="34" t="s">
        <v>254</v>
      </c>
      <c r="AA76" s="34"/>
      <c r="AB76" s="34"/>
      <c r="AC76" s="34"/>
    </row>
    <row r="77" spans="1:29" s="17" customFormat="1">
      <c r="A77" s="25" t="s">
        <v>295</v>
      </c>
      <c r="B77" s="25"/>
      <c r="C77" s="13" t="s">
        <v>296</v>
      </c>
      <c r="D77" s="13" t="s">
        <v>297</v>
      </c>
      <c r="E77" s="13" t="s">
        <v>59</v>
      </c>
      <c r="F77" s="14">
        <v>762000016131</v>
      </c>
      <c r="G77" s="15" t="str">
        <f>IF(E77="EXTERNA","CON TERCEROS","EN CARTERA")</f>
        <v>EN CARTERA</v>
      </c>
      <c r="H77" s="15"/>
      <c r="I77" s="16" t="s">
        <v>35</v>
      </c>
      <c r="J77" s="13" t="s">
        <v>36</v>
      </c>
      <c r="K77" s="13"/>
      <c r="O77" s="17" t="s">
        <v>37</v>
      </c>
      <c r="P77" s="1">
        <v>169</v>
      </c>
      <c r="Q77" s="18">
        <f>IF(O77="Trimestral",P77*4,P77*12)</f>
        <v>676</v>
      </c>
      <c r="S77" s="4"/>
      <c r="T77" s="1"/>
      <c r="U77" s="2"/>
      <c r="Y77" s="34" t="s">
        <v>254</v>
      </c>
      <c r="Z77" s="34" t="s">
        <v>254</v>
      </c>
      <c r="AA77" s="34"/>
      <c r="AB77" s="34"/>
      <c r="AC77" s="34"/>
    </row>
    <row r="78" spans="1:29" s="17" customFormat="1">
      <c r="A78" s="25" t="s">
        <v>298</v>
      </c>
      <c r="B78" s="25"/>
      <c r="C78" s="13" t="s">
        <v>299</v>
      </c>
      <c r="D78" s="13" t="s">
        <v>300</v>
      </c>
      <c r="E78" s="13" t="s">
        <v>33</v>
      </c>
      <c r="F78" s="14" t="s">
        <v>301</v>
      </c>
      <c r="G78" s="15" t="s">
        <v>302</v>
      </c>
      <c r="H78" s="15"/>
      <c r="I78" s="16" t="s">
        <v>35</v>
      </c>
      <c r="J78" s="13" t="s">
        <v>36</v>
      </c>
      <c r="K78" s="13"/>
      <c r="O78" s="17" t="s">
        <v>37</v>
      </c>
      <c r="P78" s="1">
        <v>644</v>
      </c>
      <c r="Q78" s="18">
        <f>IF(O78="Trimestral",P78*4,P78*12)</f>
        <v>2576</v>
      </c>
      <c r="S78" s="4"/>
      <c r="T78" s="1"/>
      <c r="U78" s="2"/>
      <c r="Y78" s="34" t="s">
        <v>254</v>
      </c>
      <c r="Z78" s="34" t="s">
        <v>254</v>
      </c>
      <c r="AA78" s="34"/>
      <c r="AB78" s="34"/>
      <c r="AC78" s="34"/>
    </row>
    <row r="79" spans="1:29" s="17" customFormat="1">
      <c r="A79" s="25" t="s">
        <v>303</v>
      </c>
      <c r="B79" s="25"/>
      <c r="C79" s="13" t="s">
        <v>304</v>
      </c>
      <c r="D79" s="13" t="s">
        <v>305</v>
      </c>
      <c r="E79" s="13" t="s">
        <v>33</v>
      </c>
      <c r="F79" s="19" t="s">
        <v>306</v>
      </c>
      <c r="G79" s="15" t="str">
        <f>IF(E79="EXTERNA","CON TERCEROS","EN CARTERA")</f>
        <v>EN CARTERA</v>
      </c>
      <c r="H79" s="15"/>
      <c r="I79" s="16" t="s">
        <v>35</v>
      </c>
      <c r="J79" s="13" t="s">
        <v>36</v>
      </c>
      <c r="K79" s="13"/>
      <c r="L79" s="17" t="s">
        <v>46</v>
      </c>
      <c r="O79" s="17" t="s">
        <v>37</v>
      </c>
      <c r="P79" s="3">
        <v>1078</v>
      </c>
      <c r="Q79" s="18">
        <f>IF(O79="Trimestral",P79*4,P79*12)</f>
        <v>4312</v>
      </c>
      <c r="S79" s="4"/>
      <c r="T79" s="3"/>
      <c r="U79" s="2"/>
      <c r="Y79" s="36" t="s">
        <v>47</v>
      </c>
      <c r="Z79" s="34" t="s">
        <v>38</v>
      </c>
      <c r="AA79" s="34"/>
      <c r="AB79" s="34"/>
      <c r="AC79" s="34"/>
    </row>
    <row r="80" spans="1:29" s="17" customFormat="1">
      <c r="A80" s="25" t="s">
        <v>307</v>
      </c>
      <c r="B80" s="25"/>
      <c r="C80" s="13" t="s">
        <v>308</v>
      </c>
      <c r="D80" s="13" t="s">
        <v>309</v>
      </c>
      <c r="E80" s="13" t="s">
        <v>42</v>
      </c>
      <c r="F80" s="14"/>
      <c r="G80" s="15" t="str">
        <f>IF(E80="EXTERNA","CON TERCEROS","EN CARTERA")</f>
        <v>CON TERCEROS</v>
      </c>
      <c r="H80" s="15"/>
      <c r="I80" s="16" t="s">
        <v>35</v>
      </c>
      <c r="J80" s="13" t="s">
        <v>36</v>
      </c>
      <c r="K80" s="13"/>
      <c r="N80" s="17" t="s">
        <v>237</v>
      </c>
      <c r="O80" s="17" t="s">
        <v>37</v>
      </c>
      <c r="P80" s="1">
        <v>430</v>
      </c>
      <c r="Q80" s="18">
        <f>IF(O80="Trimestral",P80*4,P80*12)</f>
        <v>1720</v>
      </c>
      <c r="S80" s="4"/>
      <c r="T80" s="1"/>
      <c r="U80" s="2"/>
      <c r="Y80" s="36" t="s">
        <v>47</v>
      </c>
      <c r="Z80" s="34" t="s">
        <v>38</v>
      </c>
      <c r="AA80" s="34" t="s">
        <v>47</v>
      </c>
      <c r="AB80" s="34"/>
      <c r="AC80" s="34"/>
    </row>
    <row r="81" spans="1:29" s="17" customFormat="1">
      <c r="A81" s="25" t="s">
        <v>310</v>
      </c>
      <c r="B81" s="25"/>
      <c r="C81" s="13" t="s">
        <v>311</v>
      </c>
      <c r="D81" s="13" t="s">
        <v>312</v>
      </c>
      <c r="E81" s="13" t="s">
        <v>77</v>
      </c>
      <c r="F81" s="14">
        <v>510008461</v>
      </c>
      <c r="G81" s="15" t="str">
        <f>IF(E81="EXTERNA","CON TERCEROS","EN CARTERA")</f>
        <v>EN CARTERA</v>
      </c>
      <c r="H81" s="15"/>
      <c r="I81" s="16" t="s">
        <v>35</v>
      </c>
      <c r="J81" s="13" t="s">
        <v>36</v>
      </c>
      <c r="K81" s="13"/>
      <c r="O81" s="17" t="s">
        <v>37</v>
      </c>
      <c r="P81" s="1">
        <v>589</v>
      </c>
      <c r="Q81" s="18">
        <f>IF(O81="Trimestral",P81*4,P81*12)</f>
        <v>2356</v>
      </c>
      <c r="S81" s="4"/>
      <c r="T81" s="1"/>
      <c r="U81" s="2"/>
      <c r="Y81" s="36" t="s">
        <v>47</v>
      </c>
      <c r="Z81" s="34" t="s">
        <v>38</v>
      </c>
      <c r="AA81" s="34" t="s">
        <v>47</v>
      </c>
      <c r="AB81" s="34"/>
      <c r="AC81" s="34"/>
    </row>
    <row r="82" spans="1:29" s="17" customFormat="1">
      <c r="A82" s="25" t="s">
        <v>313</v>
      </c>
      <c r="B82" s="25"/>
      <c r="C82" s="13" t="s">
        <v>314</v>
      </c>
      <c r="D82" s="13" t="s">
        <v>315</v>
      </c>
      <c r="E82" s="13" t="s">
        <v>33</v>
      </c>
      <c r="F82" s="19" t="s">
        <v>316</v>
      </c>
      <c r="G82" s="15" t="str">
        <f>IF(E82="EXTERNA","CON TERCEROS","EN CARTERA")</f>
        <v>EN CARTERA</v>
      </c>
      <c r="H82" s="15"/>
      <c r="I82" s="16" t="s">
        <v>35</v>
      </c>
      <c r="J82" s="13" t="s">
        <v>36</v>
      </c>
      <c r="K82" s="13"/>
      <c r="L82" s="17" t="s">
        <v>46</v>
      </c>
      <c r="M82" s="17" t="s">
        <v>36</v>
      </c>
      <c r="O82" s="17" t="s">
        <v>37</v>
      </c>
      <c r="P82" s="1">
        <v>593</v>
      </c>
      <c r="Q82" s="18">
        <f>IF(O82="Trimestral",P82*4,P82*12)</f>
        <v>2372</v>
      </c>
      <c r="S82" s="4"/>
      <c r="T82" s="1"/>
      <c r="U82" s="2"/>
      <c r="Y82" s="36" t="s">
        <v>47</v>
      </c>
      <c r="Z82" s="34" t="s">
        <v>47</v>
      </c>
      <c r="AA82" s="34" t="s">
        <v>47</v>
      </c>
      <c r="AB82" s="34"/>
      <c r="AC82" s="34"/>
    </row>
    <row r="83" spans="1:29" s="17" customFormat="1">
      <c r="A83" s="25" t="s">
        <v>317</v>
      </c>
      <c r="B83" s="25"/>
      <c r="C83" s="13" t="s">
        <v>318</v>
      </c>
      <c r="D83" s="13" t="s">
        <v>319</v>
      </c>
      <c r="E83" s="13" t="s">
        <v>77</v>
      </c>
      <c r="F83" s="14">
        <v>510052626</v>
      </c>
      <c r="G83" s="15" t="str">
        <f>IF(E83="EXTERNA","CON TERCEROS","EN CARTERA")</f>
        <v>EN CARTERA</v>
      </c>
      <c r="H83" s="15"/>
      <c r="I83" s="16" t="s">
        <v>35</v>
      </c>
      <c r="J83" s="13" t="s">
        <v>36</v>
      </c>
      <c r="K83" s="13"/>
      <c r="L83" s="17" t="s">
        <v>46</v>
      </c>
      <c r="M83" s="17" t="s">
        <v>36</v>
      </c>
      <c r="O83" s="17" t="s">
        <v>37</v>
      </c>
      <c r="P83" s="1">
        <v>804</v>
      </c>
      <c r="Q83" s="18">
        <f>IF(O83="Trimestral",P83*4,P83*12)</f>
        <v>3216</v>
      </c>
      <c r="S83" s="4"/>
      <c r="T83" s="1"/>
      <c r="U83" s="2"/>
      <c r="Y83" s="36" t="s">
        <v>47</v>
      </c>
      <c r="Z83" s="34" t="s">
        <v>320</v>
      </c>
      <c r="AA83" s="34" t="s">
        <v>47</v>
      </c>
      <c r="AB83" s="34"/>
      <c r="AC83" s="34"/>
    </row>
    <row r="84" spans="1:29" s="17" customFormat="1">
      <c r="A84" s="25" t="s">
        <v>321</v>
      </c>
      <c r="B84" s="25"/>
      <c r="C84" s="13" t="s">
        <v>322</v>
      </c>
      <c r="D84" s="13" t="s">
        <v>323</v>
      </c>
      <c r="E84" s="13" t="s">
        <v>33</v>
      </c>
      <c r="F84" s="14" t="s">
        <v>324</v>
      </c>
      <c r="G84" s="15" t="str">
        <f>IF(E84="EXTERNA","CON TERCEROS","EN CARTERA")</f>
        <v>EN CARTERA</v>
      </c>
      <c r="H84" s="15"/>
      <c r="I84" s="16" t="s">
        <v>35</v>
      </c>
      <c r="J84" s="13" t="s">
        <v>36</v>
      </c>
      <c r="K84" s="13"/>
      <c r="O84" s="17" t="s">
        <v>37</v>
      </c>
      <c r="P84" s="1">
        <v>142</v>
      </c>
      <c r="Q84" s="18">
        <f>IF(O84="Trimestral",P84*4,P84*12)</f>
        <v>568</v>
      </c>
      <c r="S84" s="4"/>
      <c r="T84" s="1"/>
      <c r="U84" s="2"/>
      <c r="Y84" s="36" t="s">
        <v>47</v>
      </c>
      <c r="Z84" s="34" t="s">
        <v>47</v>
      </c>
      <c r="AA84" s="34"/>
      <c r="AB84" s="34"/>
      <c r="AC84" s="34"/>
    </row>
    <row r="85" spans="1:29" s="17" customFormat="1">
      <c r="A85" s="25" t="s">
        <v>325</v>
      </c>
      <c r="B85" s="25"/>
      <c r="C85" s="13" t="s">
        <v>326</v>
      </c>
      <c r="D85" s="13" t="s">
        <v>327</v>
      </c>
      <c r="E85" s="13" t="s">
        <v>42</v>
      </c>
      <c r="F85" s="14"/>
      <c r="G85" s="15" t="str">
        <f>IF(E85="EXTERNA","CON TERCEROS","EN CARTERA")</f>
        <v>CON TERCEROS</v>
      </c>
      <c r="H85" s="15"/>
      <c r="I85" s="16" t="s">
        <v>35</v>
      </c>
      <c r="J85" s="13" t="s">
        <v>36</v>
      </c>
      <c r="K85" s="13"/>
      <c r="N85" s="17" t="s">
        <v>328</v>
      </c>
      <c r="O85" s="17" t="s">
        <v>37</v>
      </c>
      <c r="P85" s="1">
        <v>268</v>
      </c>
      <c r="Q85" s="18">
        <f>IF(O85="Trimestral",P85*4,P85*12)</f>
        <v>1072</v>
      </c>
      <c r="S85" s="4"/>
      <c r="T85" s="1"/>
      <c r="U85" s="2"/>
      <c r="Y85" s="36" t="s">
        <v>47</v>
      </c>
      <c r="Z85" s="34" t="s">
        <v>38</v>
      </c>
      <c r="AA85" s="34"/>
      <c r="AB85" s="34"/>
      <c r="AC85" s="34"/>
    </row>
    <row r="86" spans="1:29" s="17" customFormat="1">
      <c r="A86" s="25" t="s">
        <v>329</v>
      </c>
      <c r="B86" s="25"/>
      <c r="C86" s="13" t="s">
        <v>330</v>
      </c>
      <c r="D86" s="13" t="s">
        <v>331</v>
      </c>
      <c r="E86" s="13" t="s">
        <v>72</v>
      </c>
      <c r="F86" s="14">
        <v>34819412</v>
      </c>
      <c r="G86" s="15" t="str">
        <f>IF(E86="EXTERNA","CON TERCEROS","EN CARTERA")</f>
        <v>EN CARTERA</v>
      </c>
      <c r="H86" s="15"/>
      <c r="I86" s="16" t="s">
        <v>35</v>
      </c>
      <c r="J86" s="13" t="s">
        <v>36</v>
      </c>
      <c r="K86" s="13"/>
      <c r="O86" s="17" t="s">
        <v>37</v>
      </c>
      <c r="P86" s="1">
        <v>407</v>
      </c>
      <c r="Q86" s="18">
        <f>IF(O86="Trimestral",P86*4,P86*12)</f>
        <v>1628</v>
      </c>
      <c r="S86" s="4"/>
      <c r="T86" s="1"/>
      <c r="U86" s="2"/>
      <c r="Y86" s="34" t="s">
        <v>47</v>
      </c>
      <c r="Z86" s="34" t="s">
        <v>38</v>
      </c>
      <c r="AA86" s="34"/>
      <c r="AB86" s="34"/>
      <c r="AC86" s="34"/>
    </row>
    <row r="87" spans="1:29" s="17" customFormat="1">
      <c r="A87" s="25" t="s">
        <v>332</v>
      </c>
      <c r="B87" s="25"/>
      <c r="C87" s="13" t="s">
        <v>333</v>
      </c>
      <c r="D87" s="13" t="s">
        <v>334</v>
      </c>
      <c r="E87" s="13" t="s">
        <v>42</v>
      </c>
      <c r="F87" s="14"/>
      <c r="G87" s="15" t="str">
        <f>IF(E87="EXTERNA","CON TERCEROS","EN CARTERA")</f>
        <v>CON TERCEROS</v>
      </c>
      <c r="H87" s="15"/>
      <c r="I87" s="16" t="s">
        <v>35</v>
      </c>
      <c r="J87" s="13" t="s">
        <v>36</v>
      </c>
      <c r="K87" s="13"/>
      <c r="O87" s="17" t="s">
        <v>37</v>
      </c>
      <c r="P87" s="1">
        <v>223</v>
      </c>
      <c r="Q87" s="18">
        <f>IF(O87="Trimestral",P87*4,P87*12)</f>
        <v>892</v>
      </c>
      <c r="S87" s="4"/>
      <c r="T87" s="1"/>
      <c r="U87" s="2"/>
      <c r="Y87" s="36" t="s">
        <v>47</v>
      </c>
      <c r="Z87" s="34" t="s">
        <v>47</v>
      </c>
      <c r="AA87" s="34" t="s">
        <v>47</v>
      </c>
      <c r="AB87" s="34"/>
      <c r="AC87" s="34"/>
    </row>
    <row r="88" spans="1:29" s="17" customFormat="1">
      <c r="A88" s="25" t="s">
        <v>335</v>
      </c>
      <c r="B88" s="25"/>
      <c r="C88" s="13" t="s">
        <v>336</v>
      </c>
      <c r="D88" s="13" t="s">
        <v>337</v>
      </c>
      <c r="E88" s="13" t="s">
        <v>77</v>
      </c>
      <c r="F88" s="14">
        <v>510045574</v>
      </c>
      <c r="G88" s="15" t="str">
        <f>IF(E88="EXTERNA","CON TERCEROS","EN CARTERA")</f>
        <v>EN CARTERA</v>
      </c>
      <c r="H88" s="15"/>
      <c r="I88" s="16" t="s">
        <v>35</v>
      </c>
      <c r="J88" s="13" t="s">
        <v>36</v>
      </c>
      <c r="K88" s="13"/>
      <c r="L88" s="17" t="s">
        <v>46</v>
      </c>
      <c r="M88" s="17" t="s">
        <v>36</v>
      </c>
      <c r="O88" s="17" t="s">
        <v>37</v>
      </c>
      <c r="P88" s="1">
        <v>983</v>
      </c>
      <c r="Q88" s="18">
        <f>IF(O88="Trimestral",P88*4,P88*12)</f>
        <v>3932</v>
      </c>
      <c r="S88" s="4"/>
      <c r="T88" s="1"/>
      <c r="U88" s="2"/>
      <c r="Y88" s="34" t="s">
        <v>47</v>
      </c>
      <c r="Z88" s="34" t="s">
        <v>47</v>
      </c>
      <c r="AA88" s="34"/>
      <c r="AB88" s="34"/>
      <c r="AC88" s="34"/>
    </row>
    <row r="89" spans="1:29" s="17" customFormat="1" ht="24.75">
      <c r="A89" s="25" t="s">
        <v>338</v>
      </c>
      <c r="B89" s="25"/>
      <c r="C89" s="13" t="s">
        <v>339</v>
      </c>
      <c r="D89" s="13" t="s">
        <v>340</v>
      </c>
      <c r="E89" s="13" t="s">
        <v>59</v>
      </c>
      <c r="F89" s="20" t="s">
        <v>341</v>
      </c>
      <c r="G89" s="15" t="str">
        <f>IF(E89="EXTERNA","CON TERCEROS","EN CARTERA")</f>
        <v>EN CARTERA</v>
      </c>
      <c r="H89" s="15"/>
      <c r="I89" s="16" t="s">
        <v>35</v>
      </c>
      <c r="J89" s="13" t="s">
        <v>36</v>
      </c>
      <c r="K89" s="13"/>
      <c r="O89" s="17" t="s">
        <v>37</v>
      </c>
      <c r="P89" s="1">
        <v>305</v>
      </c>
      <c r="Q89" s="18">
        <f>IF(O89="Trimestral",P89*4,P89*12)</f>
        <v>1220</v>
      </c>
      <c r="S89" s="4"/>
      <c r="T89" s="1"/>
      <c r="U89" s="2"/>
      <c r="Y89" s="36" t="s">
        <v>47</v>
      </c>
      <c r="Z89" s="34" t="s">
        <v>47</v>
      </c>
      <c r="AA89" s="34"/>
      <c r="AB89" s="34"/>
      <c r="AC89" s="34"/>
    </row>
    <row r="90" spans="1:29" s="17" customFormat="1">
      <c r="A90" s="25" t="s">
        <v>342</v>
      </c>
      <c r="B90" s="25"/>
      <c r="C90" s="13" t="s">
        <v>343</v>
      </c>
      <c r="D90" s="13" t="s">
        <v>344</v>
      </c>
      <c r="E90" s="13" t="s">
        <v>59</v>
      </c>
      <c r="F90" s="20">
        <v>761680227889</v>
      </c>
      <c r="G90" s="15" t="str">
        <f>IF(E90="EXTERNA","CON TERCEROS","EN CARTERA")</f>
        <v>EN CARTERA</v>
      </c>
      <c r="H90" s="15"/>
      <c r="I90" s="16" t="s">
        <v>35</v>
      </c>
      <c r="J90" s="13" t="s">
        <v>36</v>
      </c>
      <c r="K90" s="13"/>
      <c r="O90" s="17" t="s">
        <v>37</v>
      </c>
      <c r="P90" s="1">
        <v>149</v>
      </c>
      <c r="Q90" s="18">
        <f>IF(O90="Trimestral",P90*4,P90*12)</f>
        <v>596</v>
      </c>
      <c r="S90" s="4"/>
      <c r="T90" s="1"/>
      <c r="U90" s="2"/>
      <c r="Y90" s="36" t="s">
        <v>47</v>
      </c>
      <c r="Z90" s="34" t="s">
        <v>38</v>
      </c>
      <c r="AA90" s="34"/>
      <c r="AB90" s="34"/>
      <c r="AC90" s="34"/>
    </row>
    <row r="91" spans="1:29" s="17" customFormat="1">
      <c r="A91" s="25" t="s">
        <v>345</v>
      </c>
      <c r="B91" s="25"/>
      <c r="C91" s="13" t="s">
        <v>346</v>
      </c>
      <c r="D91" s="13" t="s">
        <v>347</v>
      </c>
      <c r="E91" s="13" t="s">
        <v>42</v>
      </c>
      <c r="F91" s="14"/>
      <c r="G91" s="15" t="str">
        <f>IF(E91="EXTERNA","CON TERCEROS","EN CARTERA")</f>
        <v>CON TERCEROS</v>
      </c>
      <c r="H91" s="15"/>
      <c r="I91" s="16" t="s">
        <v>35</v>
      </c>
      <c r="J91" s="13" t="s">
        <v>36</v>
      </c>
      <c r="K91" s="13"/>
      <c r="O91" s="17" t="s">
        <v>37</v>
      </c>
      <c r="P91" s="1">
        <v>210</v>
      </c>
      <c r="Q91" s="18">
        <f>IF(O91="Trimestral",P91*4,P91*12)</f>
        <v>840</v>
      </c>
      <c r="S91" s="4"/>
      <c r="T91" s="1"/>
      <c r="U91" s="2"/>
      <c r="Y91" s="34" t="s">
        <v>47</v>
      </c>
      <c r="Z91" s="34" t="s">
        <v>47</v>
      </c>
      <c r="AA91" s="34"/>
      <c r="AB91" s="34"/>
      <c r="AC91" s="34"/>
    </row>
    <row r="92" spans="1:29" s="17" customFormat="1">
      <c r="A92" s="25" t="s">
        <v>348</v>
      </c>
      <c r="B92" s="25"/>
      <c r="C92" s="13" t="s">
        <v>349</v>
      </c>
      <c r="D92" s="13" t="s">
        <v>350</v>
      </c>
      <c r="E92" s="13" t="s">
        <v>59</v>
      </c>
      <c r="F92" s="14">
        <v>761080159308</v>
      </c>
      <c r="G92" s="15" t="str">
        <f>IF(E92="EXTERNA","CON TERCEROS","EN CARTERA")</f>
        <v>EN CARTERA</v>
      </c>
      <c r="H92" s="15"/>
      <c r="I92" s="16" t="s">
        <v>35</v>
      </c>
      <c r="J92" s="13" t="s">
        <v>36</v>
      </c>
      <c r="K92" s="13"/>
      <c r="O92" s="17" t="s">
        <v>37</v>
      </c>
      <c r="P92" s="1">
        <v>219</v>
      </c>
      <c r="Q92" s="18">
        <f>IF(O92="Trimestral",P92*4,P92*12)</f>
        <v>876</v>
      </c>
      <c r="S92" s="4"/>
      <c r="T92" s="1"/>
      <c r="U92" s="2"/>
      <c r="Y92" s="36" t="s">
        <v>47</v>
      </c>
      <c r="Z92" s="34" t="s">
        <v>38</v>
      </c>
      <c r="AA92" s="34"/>
      <c r="AB92" s="34"/>
      <c r="AC92" s="34"/>
    </row>
    <row r="93" spans="1:29" s="17" customFormat="1">
      <c r="A93" s="25" t="s">
        <v>351</v>
      </c>
      <c r="B93" s="25"/>
      <c r="C93" s="13" t="s">
        <v>352</v>
      </c>
      <c r="D93" s="13" t="s">
        <v>353</v>
      </c>
      <c r="E93" s="13" t="s">
        <v>59</v>
      </c>
      <c r="F93" s="14">
        <v>762000002294</v>
      </c>
      <c r="G93" s="15" t="str">
        <f>IF(E93="EXTERNA","CON TERCEROS","EN CARTERA")</f>
        <v>EN CARTERA</v>
      </c>
      <c r="H93" s="15"/>
      <c r="I93" s="16" t="s">
        <v>35</v>
      </c>
      <c r="J93" s="13" t="s">
        <v>36</v>
      </c>
      <c r="K93" s="13"/>
      <c r="O93" s="17" t="s">
        <v>37</v>
      </c>
      <c r="P93" s="1">
        <v>152</v>
      </c>
      <c r="Q93" s="18">
        <f>IF(O93="Trimestral",P93*4,P93*12)</f>
        <v>608</v>
      </c>
      <c r="S93" s="4"/>
      <c r="T93" s="1"/>
      <c r="U93" s="2"/>
      <c r="Y93" s="36" t="s">
        <v>47</v>
      </c>
      <c r="Z93" s="34" t="s">
        <v>47</v>
      </c>
      <c r="AA93" s="34"/>
      <c r="AB93" s="34"/>
      <c r="AC93" s="34"/>
    </row>
    <row r="94" spans="1:29" s="17" customFormat="1">
      <c r="A94" s="25" t="s">
        <v>354</v>
      </c>
      <c r="B94" s="25"/>
      <c r="C94" s="13" t="s">
        <v>355</v>
      </c>
      <c r="D94" s="13" t="s">
        <v>356</v>
      </c>
      <c r="E94" s="13" t="s">
        <v>33</v>
      </c>
      <c r="F94" s="14" t="s">
        <v>357</v>
      </c>
      <c r="G94" s="15" t="str">
        <f>IF(E94="EXTERNA","CON TERCEROS","EN CARTERA")</f>
        <v>EN CARTERA</v>
      </c>
      <c r="H94" s="15"/>
      <c r="I94" s="16" t="s">
        <v>35</v>
      </c>
      <c r="J94" s="13" t="s">
        <v>36</v>
      </c>
      <c r="K94" s="13"/>
      <c r="O94" s="17" t="s">
        <v>37</v>
      </c>
      <c r="P94" s="1">
        <v>162</v>
      </c>
      <c r="Q94" s="18">
        <f>IF(O94="Trimestral",P94*4,P94*12)</f>
        <v>648</v>
      </c>
      <c r="Y94" s="36" t="s">
        <v>47</v>
      </c>
      <c r="Z94" s="34" t="s">
        <v>47</v>
      </c>
      <c r="AA94" s="34"/>
      <c r="AB94" s="34"/>
      <c r="AC94" s="34"/>
    </row>
    <row r="95" spans="1:29" s="17" customFormat="1">
      <c r="A95" s="25" t="s">
        <v>358</v>
      </c>
      <c r="B95" s="25"/>
      <c r="C95" s="13" t="s">
        <v>359</v>
      </c>
      <c r="D95" s="13" t="s">
        <v>360</v>
      </c>
      <c r="E95" s="13" t="s">
        <v>33</v>
      </c>
      <c r="F95" s="14">
        <v>140373000475</v>
      </c>
      <c r="G95" s="15" t="str">
        <f>IF(E95="EXTERNA","CON TERCEROS","EN CARTERA")</f>
        <v>EN CARTERA</v>
      </c>
      <c r="H95" s="15"/>
      <c r="I95" s="16" t="s">
        <v>35</v>
      </c>
      <c r="J95" s="13" t="s">
        <v>36</v>
      </c>
      <c r="K95" s="13"/>
      <c r="L95" s="17" t="s">
        <v>46</v>
      </c>
      <c r="O95" s="17" t="s">
        <v>37</v>
      </c>
      <c r="P95" s="1">
        <v>760</v>
      </c>
      <c r="Q95" s="18">
        <f>IF(O95="Trimestral",P95*4,P95*12)</f>
        <v>3040</v>
      </c>
      <c r="S95" s="4"/>
      <c r="T95" s="1"/>
      <c r="U95" s="2"/>
      <c r="Y95" s="36" t="s">
        <v>47</v>
      </c>
      <c r="Z95" s="34" t="s">
        <v>38</v>
      </c>
      <c r="AA95" s="34"/>
      <c r="AB95" s="34"/>
      <c r="AC95" s="34"/>
    </row>
    <row r="96" spans="1:29" s="17" customFormat="1">
      <c r="A96" s="25" t="s">
        <v>361</v>
      </c>
      <c r="B96" s="25"/>
      <c r="C96" s="13" t="s">
        <v>362</v>
      </c>
      <c r="D96" s="13" t="s">
        <v>363</v>
      </c>
      <c r="E96" s="13" t="s">
        <v>77</v>
      </c>
      <c r="F96" s="14">
        <v>510029873</v>
      </c>
      <c r="G96" s="15" t="str">
        <f>IF(E96="EXTERNA","CON TERCEROS","EN CARTERA")</f>
        <v>EN CARTERA</v>
      </c>
      <c r="H96" s="15"/>
      <c r="I96" s="16" t="s">
        <v>35</v>
      </c>
      <c r="J96" s="13" t="s">
        <v>36</v>
      </c>
      <c r="K96" s="13"/>
      <c r="O96" s="17" t="s">
        <v>37</v>
      </c>
      <c r="P96" s="1">
        <v>254</v>
      </c>
      <c r="Q96" s="18">
        <f>IF(O96="Trimestral",P96*4,P96*12)</f>
        <v>1016</v>
      </c>
      <c r="S96" s="4"/>
      <c r="T96" s="1"/>
      <c r="U96" s="2"/>
      <c r="Y96" s="34" t="s">
        <v>47</v>
      </c>
      <c r="Z96" s="34" t="s">
        <v>38</v>
      </c>
      <c r="AA96" s="34"/>
      <c r="AB96" s="34"/>
      <c r="AC96" s="34"/>
    </row>
    <row r="97" spans="1:29" s="17" customFormat="1">
      <c r="A97" s="25" t="s">
        <v>364</v>
      </c>
      <c r="B97" s="25"/>
      <c r="C97" s="13" t="s">
        <v>365</v>
      </c>
      <c r="D97" s="13" t="s">
        <v>366</v>
      </c>
      <c r="E97" s="13" t="s">
        <v>33</v>
      </c>
      <c r="F97" s="14" t="s">
        <v>367</v>
      </c>
      <c r="G97" s="15" t="str">
        <f>IF(E97="EXTERNA","CON TERCEROS","EN CARTERA")</f>
        <v>EN CARTERA</v>
      </c>
      <c r="H97" s="15"/>
      <c r="I97" s="16" t="s">
        <v>35</v>
      </c>
      <c r="J97" s="13" t="s">
        <v>36</v>
      </c>
      <c r="K97" s="13"/>
      <c r="O97" s="17" t="s">
        <v>37</v>
      </c>
      <c r="P97" s="1">
        <v>206</v>
      </c>
      <c r="Q97" s="18">
        <f>IF(O97="Trimestral",P97*4,P97*12)</f>
        <v>824</v>
      </c>
      <c r="S97" s="4"/>
      <c r="T97" s="1"/>
      <c r="U97" s="2"/>
      <c r="Y97" s="36" t="s">
        <v>47</v>
      </c>
      <c r="Z97" s="34" t="s">
        <v>47</v>
      </c>
      <c r="AA97" s="34"/>
      <c r="AB97" s="34"/>
      <c r="AC97" s="34"/>
    </row>
    <row r="98" spans="1:29" s="17" customFormat="1">
      <c r="A98" s="25" t="s">
        <v>368</v>
      </c>
      <c r="B98" s="25"/>
      <c r="C98" s="13" t="s">
        <v>369</v>
      </c>
      <c r="D98" s="13" t="s">
        <v>370</v>
      </c>
      <c r="E98" s="13" t="s">
        <v>59</v>
      </c>
      <c r="F98" s="14">
        <v>761080434365</v>
      </c>
      <c r="G98" s="15" t="str">
        <f>IF(E98="EXTERNA","CON TERCEROS","EN CARTERA")</f>
        <v>EN CARTERA</v>
      </c>
      <c r="H98" s="15"/>
      <c r="I98" s="16" t="s">
        <v>35</v>
      </c>
      <c r="J98" s="13" t="s">
        <v>36</v>
      </c>
      <c r="K98" s="13"/>
      <c r="O98" s="17" t="s">
        <v>37</v>
      </c>
      <c r="P98" s="1">
        <v>114</v>
      </c>
      <c r="Q98" s="18">
        <f>IF(O98="Trimestral",P98*4,P98*12)</f>
        <v>456</v>
      </c>
      <c r="S98" s="4"/>
      <c r="T98" s="1"/>
      <c r="U98" s="2"/>
      <c r="Y98" s="36" t="s">
        <v>47</v>
      </c>
      <c r="Z98" s="34" t="s">
        <v>47</v>
      </c>
      <c r="AA98" s="34"/>
      <c r="AB98" s="34"/>
      <c r="AC98" s="34"/>
    </row>
    <row r="99" spans="1:29" s="17" customFormat="1">
      <c r="A99" s="25" t="s">
        <v>371</v>
      </c>
      <c r="B99" s="25"/>
      <c r="C99" s="13" t="s">
        <v>372</v>
      </c>
      <c r="D99" s="13" t="s">
        <v>373</v>
      </c>
      <c r="E99" s="13" t="s">
        <v>77</v>
      </c>
      <c r="F99" s="14">
        <v>510048357</v>
      </c>
      <c r="G99" s="15" t="str">
        <f>IF(E99="EXTERNA","CON TERCEROS","EN CARTERA")</f>
        <v>EN CARTERA</v>
      </c>
      <c r="H99" s="15"/>
      <c r="I99" s="16" t="s">
        <v>35</v>
      </c>
      <c r="J99" s="13" t="s">
        <v>36</v>
      </c>
      <c r="K99" s="13"/>
      <c r="O99" s="17" t="s">
        <v>37</v>
      </c>
      <c r="P99" s="1">
        <v>813</v>
      </c>
      <c r="Q99" s="18">
        <f>IF(O99="Trimestral",P99*4,P99*12)</f>
        <v>3252</v>
      </c>
      <c r="S99" s="4"/>
      <c r="T99" s="1"/>
      <c r="U99" s="2"/>
      <c r="Y99" s="36" t="s">
        <v>47</v>
      </c>
      <c r="Z99" s="34" t="s">
        <v>47</v>
      </c>
      <c r="AA99" s="34" t="s">
        <v>47</v>
      </c>
      <c r="AB99" s="34"/>
      <c r="AC99" s="34"/>
    </row>
    <row r="100" spans="1:29" s="17" customFormat="1">
      <c r="A100" s="25" t="s">
        <v>374</v>
      </c>
      <c r="B100" s="25"/>
      <c r="C100" s="13" t="s">
        <v>375</v>
      </c>
      <c r="D100" s="13" t="s">
        <v>376</v>
      </c>
      <c r="E100" s="13" t="s">
        <v>59</v>
      </c>
      <c r="F100" s="14">
        <v>761280254324</v>
      </c>
      <c r="G100" s="15" t="str">
        <f>IF(E100="EXTERNA","CON TERCEROS","EN CARTERA")</f>
        <v>EN CARTERA</v>
      </c>
      <c r="H100" s="15"/>
      <c r="I100" s="16" t="s">
        <v>35</v>
      </c>
      <c r="J100" s="13" t="s">
        <v>36</v>
      </c>
      <c r="K100" s="13"/>
      <c r="O100" s="17" t="s">
        <v>37</v>
      </c>
      <c r="P100" s="1">
        <v>213</v>
      </c>
      <c r="Q100" s="18">
        <f>IF(O100="Trimestral",P100*4,P100*12)</f>
        <v>852</v>
      </c>
      <c r="S100" s="4"/>
      <c r="T100" s="1"/>
      <c r="U100" s="2"/>
      <c r="Y100" s="36" t="s">
        <v>47</v>
      </c>
      <c r="Z100" s="34" t="s">
        <v>47</v>
      </c>
      <c r="AA100" s="34"/>
      <c r="AB100" s="34"/>
      <c r="AC100" s="34"/>
    </row>
    <row r="101" spans="1:29" s="17" customFormat="1">
      <c r="A101" s="25" t="s">
        <v>377</v>
      </c>
      <c r="B101" s="25"/>
      <c r="C101" s="13" t="s">
        <v>378</v>
      </c>
      <c r="D101" s="13" t="s">
        <v>379</v>
      </c>
      <c r="E101" s="13" t="s">
        <v>59</v>
      </c>
      <c r="F101" s="14">
        <v>761900004653</v>
      </c>
      <c r="G101" s="15" t="str">
        <f>IF(E101="EXTERNA","CON TERCEROS","EN CARTERA")</f>
        <v>EN CARTERA</v>
      </c>
      <c r="H101" s="15"/>
      <c r="I101" s="16" t="s">
        <v>35</v>
      </c>
      <c r="J101" s="13" t="s">
        <v>36</v>
      </c>
      <c r="K101" s="13"/>
      <c r="M101" s="17" t="s">
        <v>36</v>
      </c>
      <c r="N101" s="17" t="s">
        <v>328</v>
      </c>
      <c r="O101" s="17" t="s">
        <v>37</v>
      </c>
      <c r="P101" s="1">
        <v>346</v>
      </c>
      <c r="Q101" s="18">
        <f>IF(O101="Trimestral",P101*4,P101*12)</f>
        <v>1384</v>
      </c>
      <c r="S101" s="4"/>
      <c r="T101" s="1"/>
      <c r="U101" s="2"/>
      <c r="Y101" s="36" t="s">
        <v>47</v>
      </c>
      <c r="Z101" s="34" t="s">
        <v>47</v>
      </c>
      <c r="AA101" s="34"/>
      <c r="AB101" s="34"/>
      <c r="AC101" s="34"/>
    </row>
    <row r="102" spans="1:29" s="17" customFormat="1" ht="24.75">
      <c r="A102" s="25" t="s">
        <v>380</v>
      </c>
      <c r="B102" s="25"/>
      <c r="C102" s="13" t="s">
        <v>381</v>
      </c>
      <c r="D102" s="13" t="s">
        <v>382</v>
      </c>
      <c r="E102" s="13" t="s">
        <v>59</v>
      </c>
      <c r="F102" s="20" t="s">
        <v>383</v>
      </c>
      <c r="G102" s="15" t="str">
        <f>IF(E102="EXTERNA","CON TERCEROS","EN CARTERA")</f>
        <v>EN CARTERA</v>
      </c>
      <c r="H102" s="15"/>
      <c r="I102" s="16" t="s">
        <v>35</v>
      </c>
      <c r="J102" s="13" t="s">
        <v>36</v>
      </c>
      <c r="K102" s="13"/>
      <c r="O102" s="17" t="s">
        <v>37</v>
      </c>
      <c r="P102" s="1">
        <v>425</v>
      </c>
      <c r="Q102" s="18">
        <f>IF(O102="Trimestral",P102*4,P102*12)</f>
        <v>1700</v>
      </c>
      <c r="S102" s="4"/>
      <c r="T102" s="1"/>
      <c r="U102" s="2"/>
      <c r="Y102" s="36" t="s">
        <v>47</v>
      </c>
      <c r="Z102" s="34" t="s">
        <v>47</v>
      </c>
      <c r="AA102" s="34" t="s">
        <v>47</v>
      </c>
      <c r="AB102" s="34"/>
      <c r="AC102" s="34"/>
    </row>
    <row r="103" spans="1:29" s="17" customFormat="1">
      <c r="A103" s="25" t="s">
        <v>384</v>
      </c>
      <c r="B103" s="25"/>
      <c r="C103" s="13" t="s">
        <v>385</v>
      </c>
      <c r="D103" s="13" t="s">
        <v>386</v>
      </c>
      <c r="E103" s="13" t="s">
        <v>42</v>
      </c>
      <c r="F103" s="14"/>
      <c r="G103" s="15" t="str">
        <f>IF(E103="EXTERNA","CON TERCEROS","EN CARTERA")</f>
        <v>CON TERCEROS</v>
      </c>
      <c r="H103" s="15"/>
      <c r="I103" s="16" t="s">
        <v>35</v>
      </c>
      <c r="J103" s="13" t="s">
        <v>36</v>
      </c>
      <c r="K103" s="13"/>
      <c r="O103" s="17" t="s">
        <v>37</v>
      </c>
      <c r="P103" s="1">
        <v>248</v>
      </c>
      <c r="Q103" s="18">
        <f>IF(O103="Trimestral",P103*4,P103*12)</f>
        <v>992</v>
      </c>
      <c r="S103" s="4"/>
      <c r="T103" s="1"/>
      <c r="U103" s="2"/>
      <c r="Y103" s="36" t="s">
        <v>47</v>
      </c>
      <c r="Z103" s="34" t="s">
        <v>47</v>
      </c>
      <c r="AA103" s="34"/>
      <c r="AB103" s="34"/>
      <c r="AC103" s="34"/>
    </row>
    <row r="104" spans="1:29" s="17" customFormat="1">
      <c r="A104" s="25" t="s">
        <v>387</v>
      </c>
      <c r="B104" s="25"/>
      <c r="C104" s="13" t="s">
        <v>388</v>
      </c>
      <c r="D104" s="13" t="s">
        <v>389</v>
      </c>
      <c r="E104" s="13" t="s">
        <v>59</v>
      </c>
      <c r="F104" s="14">
        <v>760180222504</v>
      </c>
      <c r="G104" s="15" t="str">
        <f>IF(E104="EXTERNA","CON TERCEROS","EN CARTERA")</f>
        <v>EN CARTERA</v>
      </c>
      <c r="H104" s="15"/>
      <c r="I104" s="16" t="s">
        <v>35</v>
      </c>
      <c r="J104" s="13" t="s">
        <v>36</v>
      </c>
      <c r="K104" s="13"/>
      <c r="O104" s="17" t="s">
        <v>37</v>
      </c>
      <c r="P104" s="1">
        <v>226</v>
      </c>
      <c r="Q104" s="18">
        <f>IF(O104="Trimestral",P104*4,P104*12)</f>
        <v>904</v>
      </c>
      <c r="S104" s="4"/>
      <c r="T104" s="1"/>
      <c r="U104" s="2"/>
      <c r="Y104" s="36" t="s">
        <v>47</v>
      </c>
      <c r="Z104" s="34" t="s">
        <v>47</v>
      </c>
      <c r="AA104" s="34"/>
      <c r="AB104" s="34"/>
      <c r="AC104" s="34"/>
    </row>
    <row r="105" spans="1:29" s="17" customFormat="1">
      <c r="A105" s="25" t="s">
        <v>390</v>
      </c>
      <c r="B105" s="25"/>
      <c r="C105" s="13" t="s">
        <v>391</v>
      </c>
      <c r="D105" s="13" t="s">
        <v>392</v>
      </c>
      <c r="E105" s="13" t="s">
        <v>77</v>
      </c>
      <c r="F105" s="14">
        <v>510006790</v>
      </c>
      <c r="G105" s="15" t="str">
        <f>IF(E105="EXTERNA","CON TERCEROS","EN CARTERA")</f>
        <v>EN CARTERA</v>
      </c>
      <c r="H105" s="15"/>
      <c r="I105" s="16" t="s">
        <v>35</v>
      </c>
      <c r="J105" s="13" t="s">
        <v>36</v>
      </c>
      <c r="K105" s="13"/>
      <c r="L105" s="17" t="s">
        <v>46</v>
      </c>
      <c r="O105" s="17" t="s">
        <v>37</v>
      </c>
      <c r="P105" s="1">
        <v>589</v>
      </c>
      <c r="Q105" s="18">
        <f>IF(O105="Trimestral",P105*4,P105*12)</f>
        <v>2356</v>
      </c>
      <c r="S105" s="4"/>
      <c r="T105" s="1"/>
      <c r="U105" s="2"/>
      <c r="Y105" s="36" t="s">
        <v>47</v>
      </c>
      <c r="Z105" s="34" t="s">
        <v>38</v>
      </c>
      <c r="AA105" s="34" t="s">
        <v>47</v>
      </c>
      <c r="AB105" s="34"/>
      <c r="AC105" s="34"/>
    </row>
    <row r="106" spans="1:29" s="17" customFormat="1">
      <c r="A106" s="25" t="s">
        <v>393</v>
      </c>
      <c r="B106" s="25"/>
      <c r="C106" s="13" t="s">
        <v>394</v>
      </c>
      <c r="D106" s="13" t="s">
        <v>395</v>
      </c>
      <c r="E106" s="13" t="s">
        <v>77</v>
      </c>
      <c r="F106" s="14">
        <v>510043757</v>
      </c>
      <c r="G106" s="15" t="str">
        <f>IF(E106="EXTERNA","CON TERCEROS","EN CARTERA")</f>
        <v>EN CARTERA</v>
      </c>
      <c r="H106" s="15"/>
      <c r="I106" s="16" t="s">
        <v>35</v>
      </c>
      <c r="J106" s="13" t="s">
        <v>36</v>
      </c>
      <c r="K106" s="13"/>
      <c r="M106" s="17" t="s">
        <v>36</v>
      </c>
      <c r="O106" s="17" t="s">
        <v>37</v>
      </c>
      <c r="P106" s="1">
        <v>189</v>
      </c>
      <c r="Q106" s="18">
        <f>IF(O106="Trimestral",P106*4,P106*12)</f>
        <v>756</v>
      </c>
      <c r="S106" s="4"/>
      <c r="T106" s="1"/>
      <c r="U106" s="2"/>
      <c r="Y106" s="36" t="s">
        <v>47</v>
      </c>
      <c r="Z106" s="34" t="s">
        <v>47</v>
      </c>
      <c r="AA106" s="34"/>
      <c r="AB106" s="34"/>
      <c r="AC106" s="34"/>
    </row>
    <row r="107" spans="1:29" s="17" customFormat="1" ht="24.75">
      <c r="A107" s="25" t="s">
        <v>396</v>
      </c>
      <c r="B107" s="25"/>
      <c r="C107" s="13" t="s">
        <v>397</v>
      </c>
      <c r="D107" s="13" t="s">
        <v>398</v>
      </c>
      <c r="E107" s="13" t="s">
        <v>33</v>
      </c>
      <c r="F107" s="20" t="s">
        <v>399</v>
      </c>
      <c r="G107" s="15" t="str">
        <f>IF(E107="EXTERNA","CON TERCEROS","EN CARTERA")</f>
        <v>EN CARTERA</v>
      </c>
      <c r="H107" s="15"/>
      <c r="I107" s="16" t="s">
        <v>35</v>
      </c>
      <c r="J107" s="13" t="s">
        <v>36</v>
      </c>
      <c r="K107" s="13"/>
      <c r="L107" s="17" t="s">
        <v>46</v>
      </c>
      <c r="O107" s="17" t="s">
        <v>37</v>
      </c>
      <c r="P107" s="1">
        <v>754</v>
      </c>
      <c r="Q107" s="18">
        <f>IF(O107="Trimestral",P107*4,P107*12)</f>
        <v>3016</v>
      </c>
      <c r="S107" s="4"/>
      <c r="T107" s="1"/>
      <c r="U107" s="2"/>
      <c r="Y107" s="34" t="s">
        <v>47</v>
      </c>
      <c r="Z107" s="34" t="s">
        <v>47</v>
      </c>
      <c r="AA107" s="34"/>
      <c r="AB107" s="34"/>
      <c r="AC107" s="34"/>
    </row>
    <row r="108" spans="1:29" s="17" customFormat="1">
      <c r="A108" s="25" t="s">
        <v>400</v>
      </c>
      <c r="B108" s="25"/>
      <c r="C108" s="13" t="s">
        <v>401</v>
      </c>
      <c r="D108" s="13" t="s">
        <v>402</v>
      </c>
      <c r="E108" s="13" t="s">
        <v>42</v>
      </c>
      <c r="F108" s="14"/>
      <c r="G108" s="15" t="str">
        <f>IF(E108="EXTERNA","CON TERCEROS","EN CARTERA")</f>
        <v>CON TERCEROS</v>
      </c>
      <c r="H108" s="15"/>
      <c r="I108" s="16" t="s">
        <v>35</v>
      </c>
      <c r="J108" s="13" t="s">
        <v>36</v>
      </c>
      <c r="K108" s="13"/>
      <c r="O108" s="17" t="s">
        <v>37</v>
      </c>
      <c r="P108" s="1">
        <v>213</v>
      </c>
      <c r="Q108" s="18">
        <f>IF(O108="Trimestral",P108*4,P108*12)</f>
        <v>852</v>
      </c>
      <c r="S108" s="4"/>
      <c r="T108" s="1"/>
      <c r="U108" s="2"/>
      <c r="Y108" s="36" t="s">
        <v>47</v>
      </c>
      <c r="Z108" s="34" t="s">
        <v>47</v>
      </c>
      <c r="AA108" s="34"/>
      <c r="AB108" s="34"/>
      <c r="AC108" s="34"/>
    </row>
    <row r="109" spans="1:29" s="17" customFormat="1">
      <c r="A109" s="25" t="s">
        <v>403</v>
      </c>
      <c r="B109" s="25"/>
      <c r="C109" s="13" t="s">
        <v>404</v>
      </c>
      <c r="D109" s="13" t="s">
        <v>405</v>
      </c>
      <c r="E109" s="13" t="s">
        <v>77</v>
      </c>
      <c r="F109" s="14">
        <v>510005239</v>
      </c>
      <c r="G109" s="15" t="str">
        <f>IF(E109="EXTERNA","CON TERCEROS","EN CARTERA")</f>
        <v>EN CARTERA</v>
      </c>
      <c r="H109" s="15"/>
      <c r="I109" s="16" t="s">
        <v>35</v>
      </c>
      <c r="J109" s="13" t="s">
        <v>36</v>
      </c>
      <c r="K109" s="13"/>
      <c r="L109" s="17" t="s">
        <v>46</v>
      </c>
      <c r="M109" s="17" t="s">
        <v>36</v>
      </c>
      <c r="O109" s="17" t="s">
        <v>37</v>
      </c>
      <c r="P109" s="1">
        <v>726</v>
      </c>
      <c r="Q109" s="18">
        <f>IF(O109="Trimestral",P109*4,P109*12)</f>
        <v>2904</v>
      </c>
      <c r="S109" s="4"/>
      <c r="T109" s="3"/>
      <c r="U109" s="2"/>
      <c r="Y109" s="34" t="s">
        <v>47</v>
      </c>
      <c r="Z109" s="34" t="s">
        <v>38</v>
      </c>
      <c r="AA109" s="34" t="s">
        <v>47</v>
      </c>
      <c r="AB109" s="34"/>
      <c r="AC109" s="34"/>
    </row>
    <row r="110" spans="1:29" s="17" customFormat="1">
      <c r="A110" s="25" t="s">
        <v>406</v>
      </c>
      <c r="B110" s="25"/>
      <c r="C110" s="13" t="s">
        <v>407</v>
      </c>
      <c r="D110" s="13" t="s">
        <v>408</v>
      </c>
      <c r="E110" s="13" t="s">
        <v>77</v>
      </c>
      <c r="F110" s="14">
        <v>510039331</v>
      </c>
      <c r="G110" s="15" t="str">
        <f>IF(E110="EXTERNA","CON TERCEROS","EN CARTERA")</f>
        <v>EN CARTERA</v>
      </c>
      <c r="H110" s="15"/>
      <c r="I110" s="16" t="s">
        <v>35</v>
      </c>
      <c r="J110" s="13" t="s">
        <v>36</v>
      </c>
      <c r="K110" s="13"/>
      <c r="O110" s="17" t="s">
        <v>37</v>
      </c>
      <c r="P110" s="1">
        <v>295.31</v>
      </c>
      <c r="Q110" s="18">
        <f>IF(O110="Trimestral",P110*4,P110*12)</f>
        <v>1181.24</v>
      </c>
      <c r="S110" s="4"/>
      <c r="T110" s="1"/>
      <c r="U110" s="2"/>
      <c r="Y110" s="36" t="s">
        <v>47</v>
      </c>
      <c r="Z110" s="34" t="s">
        <v>47</v>
      </c>
      <c r="AA110" s="34" t="s">
        <v>47</v>
      </c>
      <c r="AB110" s="34"/>
      <c r="AC110" s="34"/>
    </row>
    <row r="111" spans="1:29" s="17" customFormat="1">
      <c r="A111" s="25" t="s">
        <v>409</v>
      </c>
      <c r="B111" s="25"/>
      <c r="C111" s="13" t="s">
        <v>410</v>
      </c>
      <c r="D111" s="13" t="s">
        <v>250</v>
      </c>
      <c r="E111" s="13" t="s">
        <v>42</v>
      </c>
      <c r="F111" s="14"/>
      <c r="G111" s="15" t="str">
        <f>IF(E111="EXTERNA","CON TERCEROS","EN CARTERA")</f>
        <v>CON TERCEROS</v>
      </c>
      <c r="H111" s="15"/>
      <c r="I111" s="16" t="s">
        <v>35</v>
      </c>
      <c r="J111" s="13" t="s">
        <v>36</v>
      </c>
      <c r="K111" s="13"/>
      <c r="M111" s="17" t="s">
        <v>36</v>
      </c>
      <c r="O111" s="17" t="s">
        <v>37</v>
      </c>
      <c r="P111" s="3">
        <v>1069</v>
      </c>
      <c r="Q111" s="18">
        <f>IF(O111="Trimestral",P111*4,P111*12)</f>
        <v>4276</v>
      </c>
      <c r="S111" s="4"/>
      <c r="T111" s="1"/>
      <c r="U111" s="2"/>
      <c r="Y111" s="34" t="s">
        <v>47</v>
      </c>
      <c r="Z111" s="34" t="s">
        <v>38</v>
      </c>
      <c r="AA111" s="34"/>
      <c r="AB111" s="34"/>
      <c r="AC111" s="34"/>
    </row>
    <row r="112" spans="1:29" s="17" customFormat="1">
      <c r="A112" s="25" t="s">
        <v>411</v>
      </c>
      <c r="B112" s="25"/>
      <c r="C112" s="13" t="s">
        <v>412</v>
      </c>
      <c r="D112" s="13" t="s">
        <v>413</v>
      </c>
      <c r="E112" s="13" t="s">
        <v>33</v>
      </c>
      <c r="F112" s="14" t="s">
        <v>414</v>
      </c>
      <c r="G112" s="15" t="str">
        <f>IF(E112="EXTERNA","CON TERCEROS","EN CARTERA")</f>
        <v>EN CARTERA</v>
      </c>
      <c r="H112" s="15"/>
      <c r="I112" s="16" t="s">
        <v>35</v>
      </c>
      <c r="J112" s="13" t="s">
        <v>36</v>
      </c>
      <c r="K112" s="13"/>
      <c r="O112" s="17" t="s">
        <v>37</v>
      </c>
      <c r="P112" s="1">
        <v>128</v>
      </c>
      <c r="Q112" s="18">
        <f>IF(O112="Trimestral",P112*4,P112*12)</f>
        <v>512</v>
      </c>
      <c r="S112" s="4"/>
      <c r="T112" s="1"/>
      <c r="U112" s="2"/>
      <c r="Y112" s="36" t="s">
        <v>47</v>
      </c>
      <c r="Z112" s="34" t="s">
        <v>38</v>
      </c>
      <c r="AA112" s="34"/>
      <c r="AB112" s="34"/>
      <c r="AC112" s="34"/>
    </row>
    <row r="113" spans="1:29" s="17" customFormat="1">
      <c r="A113" s="25" t="s">
        <v>415</v>
      </c>
      <c r="B113" s="25"/>
      <c r="C113" s="13" t="s">
        <v>416</v>
      </c>
      <c r="D113" s="13" t="s">
        <v>417</v>
      </c>
      <c r="E113" s="13" t="s">
        <v>72</v>
      </c>
      <c r="F113" s="14">
        <v>36734957</v>
      </c>
      <c r="G113" s="15" t="str">
        <f>IF(E113="EXTERNA","CON TERCEROS","EN CARTERA")</f>
        <v>EN CARTERA</v>
      </c>
      <c r="H113" s="15"/>
      <c r="I113" s="16" t="s">
        <v>35</v>
      </c>
      <c r="J113" s="13" t="s">
        <v>36</v>
      </c>
      <c r="K113" s="13"/>
      <c r="O113" s="17" t="s">
        <v>37</v>
      </c>
      <c r="P113" s="1">
        <v>133</v>
      </c>
      <c r="Q113" s="18">
        <f>IF(O113="Trimestral",P113*4,P113*12)</f>
        <v>532</v>
      </c>
      <c r="S113" s="4"/>
      <c r="T113" s="1"/>
      <c r="U113" s="2"/>
      <c r="Y113" s="36" t="s">
        <v>47</v>
      </c>
      <c r="Z113" s="34" t="s">
        <v>47</v>
      </c>
      <c r="AA113" s="34"/>
      <c r="AB113" s="34"/>
      <c r="AC113" s="34"/>
    </row>
    <row r="114" spans="1:29" s="17" customFormat="1">
      <c r="A114" s="25" t="s">
        <v>418</v>
      </c>
      <c r="B114" s="25"/>
      <c r="C114" s="13" t="s">
        <v>419</v>
      </c>
      <c r="D114" s="13" t="s">
        <v>420</v>
      </c>
      <c r="E114" s="13" t="s">
        <v>33</v>
      </c>
      <c r="F114" s="14" t="s">
        <v>421</v>
      </c>
      <c r="G114" s="15" t="str">
        <f>IF(E114="EXTERNA","CON TERCEROS","EN CARTERA")</f>
        <v>EN CARTERA</v>
      </c>
      <c r="H114" s="15"/>
      <c r="I114" s="16" t="s">
        <v>35</v>
      </c>
      <c r="J114" s="13" t="s">
        <v>36</v>
      </c>
      <c r="K114" s="13"/>
      <c r="O114" s="17" t="s">
        <v>37</v>
      </c>
      <c r="P114" s="1">
        <v>246</v>
      </c>
      <c r="Q114" s="18">
        <f>IF(O114="Trimestral",P114*4,P114*12)</f>
        <v>984</v>
      </c>
      <c r="S114" s="4"/>
      <c r="T114" s="1"/>
      <c r="U114" s="2"/>
      <c r="Y114" s="36" t="s">
        <v>47</v>
      </c>
      <c r="Z114" s="34" t="s">
        <v>47</v>
      </c>
      <c r="AA114" s="34"/>
      <c r="AB114" s="34"/>
      <c r="AC114" s="34"/>
    </row>
    <row r="115" spans="1:29" s="17" customFormat="1">
      <c r="A115" s="25" t="s">
        <v>422</v>
      </c>
      <c r="B115" s="25"/>
      <c r="C115" s="13" t="s">
        <v>423</v>
      </c>
      <c r="D115" s="13" t="s">
        <v>424</v>
      </c>
      <c r="E115" s="13" t="s">
        <v>42</v>
      </c>
      <c r="F115" s="14"/>
      <c r="G115" s="15" t="str">
        <f>IF(E115="EXTERNA","CON TERCEROS","EN CARTERA")</f>
        <v>CON TERCEROS</v>
      </c>
      <c r="H115" s="15"/>
      <c r="I115" s="16" t="s">
        <v>35</v>
      </c>
      <c r="J115" s="13" t="s">
        <v>36</v>
      </c>
      <c r="K115" s="13"/>
      <c r="O115" s="17" t="s">
        <v>37</v>
      </c>
      <c r="P115" s="1">
        <v>246</v>
      </c>
      <c r="Q115" s="18">
        <f>IF(O115="Trimestral",P115*4,P115*12)</f>
        <v>984</v>
      </c>
      <c r="S115" s="4"/>
      <c r="T115" s="1"/>
      <c r="U115" s="2"/>
      <c r="Y115" s="36" t="s">
        <v>47</v>
      </c>
      <c r="Z115" s="34" t="s">
        <v>47</v>
      </c>
      <c r="AA115" s="34"/>
      <c r="AB115" s="34"/>
      <c r="AC115" s="34"/>
    </row>
    <row r="116" spans="1:29" s="17" customFormat="1">
      <c r="A116" s="25" t="s">
        <v>425</v>
      </c>
      <c r="B116" s="25"/>
      <c r="C116" s="13" t="s">
        <v>426</v>
      </c>
      <c r="D116" s="13" t="s">
        <v>427</v>
      </c>
      <c r="E116" s="13" t="s">
        <v>72</v>
      </c>
      <c r="F116" s="14">
        <v>36734456</v>
      </c>
      <c r="G116" s="15" t="str">
        <f>IF(E116="EXTERNA","CON TERCEROS","EN CARTERA")</f>
        <v>EN CARTERA</v>
      </c>
      <c r="H116" s="15"/>
      <c r="I116" s="16" t="s">
        <v>35</v>
      </c>
      <c r="J116" s="13" t="s">
        <v>36</v>
      </c>
      <c r="K116" s="13"/>
      <c r="L116" s="17" t="s">
        <v>73</v>
      </c>
      <c r="O116" s="17" t="s">
        <v>37</v>
      </c>
      <c r="P116" s="1">
        <v>313</v>
      </c>
      <c r="Q116" s="18">
        <f>IF(O116="Trimestral",P116*4,P116*12)</f>
        <v>1252</v>
      </c>
      <c r="S116" s="4"/>
      <c r="T116" s="3"/>
      <c r="U116" s="2"/>
      <c r="Y116" s="36" t="s">
        <v>47</v>
      </c>
      <c r="Z116" s="34" t="s">
        <v>47</v>
      </c>
      <c r="AA116" s="34"/>
      <c r="AB116" s="34"/>
      <c r="AC116" s="34"/>
    </row>
    <row r="117" spans="1:29" s="17" customFormat="1">
      <c r="A117" s="25" t="s">
        <v>428</v>
      </c>
      <c r="B117" s="25"/>
      <c r="C117" s="13" t="s">
        <v>429</v>
      </c>
      <c r="D117" s="13" t="s">
        <v>430</v>
      </c>
      <c r="E117" s="13" t="s">
        <v>33</v>
      </c>
      <c r="F117" s="21" t="s">
        <v>431</v>
      </c>
      <c r="G117" s="15" t="str">
        <f>IF(E117="EXTERNA","CON TERCEROS","EN CARTERA")</f>
        <v>EN CARTERA</v>
      </c>
      <c r="H117" s="15"/>
      <c r="I117" s="16" t="s">
        <v>35</v>
      </c>
      <c r="J117" s="13" t="s">
        <v>36</v>
      </c>
      <c r="K117" s="13"/>
      <c r="O117" s="17" t="s">
        <v>37</v>
      </c>
      <c r="P117" s="1">
        <v>365</v>
      </c>
      <c r="Q117" s="18">
        <f>IF(O117="Trimestral",P117*4,P117*12)</f>
        <v>1460</v>
      </c>
      <c r="S117" s="4"/>
      <c r="T117" s="1"/>
      <c r="U117" s="2"/>
      <c r="Y117" s="36" t="s">
        <v>47</v>
      </c>
      <c r="Z117" s="34" t="s">
        <v>47</v>
      </c>
      <c r="AA117" s="34"/>
      <c r="AB117" s="34"/>
      <c r="AC117" s="34"/>
    </row>
    <row r="118" spans="1:29" s="17" customFormat="1">
      <c r="A118" s="25" t="s">
        <v>432</v>
      </c>
      <c r="B118" s="25"/>
      <c r="C118" s="13" t="s">
        <v>433</v>
      </c>
      <c r="D118" s="13" t="s">
        <v>434</v>
      </c>
      <c r="E118" s="13" t="s">
        <v>42</v>
      </c>
      <c r="F118" s="14"/>
      <c r="G118" s="15" t="str">
        <f>IF(E118="EXTERNA","CON TERCEROS","EN CARTERA")</f>
        <v>CON TERCEROS</v>
      </c>
      <c r="H118" s="15"/>
      <c r="I118" s="16" t="s">
        <v>35</v>
      </c>
      <c r="J118" s="13" t="s">
        <v>36</v>
      </c>
      <c r="K118" s="13"/>
      <c r="O118" s="17" t="s">
        <v>37</v>
      </c>
      <c r="P118" s="1">
        <v>209</v>
      </c>
      <c r="Q118" s="18">
        <f>IF(O118="Trimestral",P118*4,P118*12)</f>
        <v>836</v>
      </c>
      <c r="S118" s="4"/>
      <c r="T118" s="3"/>
      <c r="U118" s="2"/>
      <c r="Y118" s="36" t="s">
        <v>47</v>
      </c>
      <c r="Z118" s="34" t="s">
        <v>47</v>
      </c>
      <c r="AA118" s="34"/>
      <c r="AB118" s="34"/>
      <c r="AC118" s="34"/>
    </row>
    <row r="119" spans="1:29" s="17" customFormat="1">
      <c r="A119" s="25" t="s">
        <v>435</v>
      </c>
      <c r="B119" s="25"/>
      <c r="C119" s="13" t="s">
        <v>436</v>
      </c>
      <c r="D119" s="13" t="s">
        <v>437</v>
      </c>
      <c r="E119" s="13" t="s">
        <v>33</v>
      </c>
      <c r="F119" s="14" t="s">
        <v>438</v>
      </c>
      <c r="G119" s="15" t="s">
        <v>302</v>
      </c>
      <c r="H119" s="15"/>
      <c r="I119" s="16" t="s">
        <v>35</v>
      </c>
      <c r="J119" s="13" t="s">
        <v>36</v>
      </c>
      <c r="K119" s="13"/>
      <c r="L119" s="17" t="s">
        <v>46</v>
      </c>
      <c r="O119" s="17" t="s">
        <v>37</v>
      </c>
      <c r="P119" s="1">
        <v>910</v>
      </c>
      <c r="Q119" s="18">
        <f>IF(O119="Trimestral",P119*4,P119*12)</f>
        <v>3640</v>
      </c>
      <c r="S119" s="4"/>
      <c r="T119" s="1"/>
      <c r="U119" s="2"/>
      <c r="Y119" s="36" t="s">
        <v>47</v>
      </c>
      <c r="Z119" s="34" t="s">
        <v>47</v>
      </c>
      <c r="AA119" s="34" t="s">
        <v>47</v>
      </c>
      <c r="AB119" s="34"/>
      <c r="AC119" s="34"/>
    </row>
    <row r="120" spans="1:29" s="17" customFormat="1">
      <c r="A120" s="25" t="s">
        <v>439</v>
      </c>
      <c r="B120" s="25"/>
      <c r="C120" s="13" t="s">
        <v>440</v>
      </c>
      <c r="D120" s="13" t="s">
        <v>441</v>
      </c>
      <c r="E120" s="13" t="s">
        <v>77</v>
      </c>
      <c r="F120" s="14">
        <v>510039463</v>
      </c>
      <c r="G120" s="15" t="str">
        <f>IF(E120="EXTERNA","CON TERCEROS","EN CARTERA")</f>
        <v>EN CARTERA</v>
      </c>
      <c r="H120" s="15"/>
      <c r="I120" s="16" t="s">
        <v>35</v>
      </c>
      <c r="J120" s="13" t="s">
        <v>36</v>
      </c>
      <c r="K120" s="13"/>
      <c r="L120" s="17" t="s">
        <v>46</v>
      </c>
      <c r="O120" s="17" t="s">
        <v>37</v>
      </c>
      <c r="P120" s="3">
        <v>1775</v>
      </c>
      <c r="Q120" s="18">
        <f>IF(O120="Trimestral",P120*4,P120*12)</f>
        <v>7100</v>
      </c>
      <c r="S120" s="4"/>
      <c r="T120" s="1"/>
      <c r="U120" s="2"/>
      <c r="Y120" s="34" t="s">
        <v>47</v>
      </c>
      <c r="Z120" s="34" t="s">
        <v>47</v>
      </c>
      <c r="AA120" s="34" t="s">
        <v>47</v>
      </c>
      <c r="AB120" s="34"/>
      <c r="AC120" s="34"/>
    </row>
    <row r="121" spans="1:29" s="17" customFormat="1">
      <c r="A121" s="25" t="s">
        <v>442</v>
      </c>
      <c r="B121" s="25"/>
      <c r="C121" s="13" t="s">
        <v>443</v>
      </c>
      <c r="D121" s="13" t="s">
        <v>444</v>
      </c>
      <c r="E121" s="13" t="s">
        <v>77</v>
      </c>
      <c r="F121" s="14">
        <v>510050208</v>
      </c>
      <c r="G121" s="15" t="str">
        <f>IF(E121="EXTERNA","CON TERCEROS","EN CARTERA")</f>
        <v>EN CARTERA</v>
      </c>
      <c r="H121" s="15"/>
      <c r="I121" s="16" t="s">
        <v>35</v>
      </c>
      <c r="J121" s="13" t="s">
        <v>36</v>
      </c>
      <c r="K121" s="13"/>
      <c r="M121" s="17" t="s">
        <v>36</v>
      </c>
      <c r="O121" s="17" t="s">
        <v>37</v>
      </c>
      <c r="P121" s="1">
        <v>261</v>
      </c>
      <c r="Q121" s="18">
        <f>IF(O121="Trimestral",P121*4,P121*12)</f>
        <v>1044</v>
      </c>
      <c r="S121" s="4"/>
      <c r="T121" s="1"/>
      <c r="U121" s="2"/>
      <c r="Y121" s="36" t="s">
        <v>47</v>
      </c>
      <c r="Z121" s="34" t="s">
        <v>47</v>
      </c>
      <c r="AA121" s="34" t="s">
        <v>47</v>
      </c>
      <c r="AB121" s="34"/>
      <c r="AC121" s="34"/>
    </row>
    <row r="122" spans="1:29" s="17" customFormat="1">
      <c r="A122" s="25" t="s">
        <v>445</v>
      </c>
      <c r="B122" s="25"/>
      <c r="C122" s="13" t="s">
        <v>446</v>
      </c>
      <c r="D122" s="13" t="s">
        <v>447</v>
      </c>
      <c r="E122" s="13" t="s">
        <v>59</v>
      </c>
      <c r="F122" s="14">
        <v>761780253376</v>
      </c>
      <c r="G122" s="15" t="str">
        <f>IF(E122="EXTERNA","CON TERCEROS","EN CARTERA")</f>
        <v>EN CARTERA</v>
      </c>
      <c r="H122" s="15"/>
      <c r="I122" s="16" t="s">
        <v>35</v>
      </c>
      <c r="J122" s="13" t="s">
        <v>36</v>
      </c>
      <c r="K122" s="13"/>
      <c r="O122" s="17" t="s">
        <v>37</v>
      </c>
      <c r="P122" s="1">
        <v>270</v>
      </c>
      <c r="Q122" s="18">
        <f>IF(O122="Trimestral",P122*4,P122*12)</f>
        <v>1080</v>
      </c>
      <c r="S122" s="4"/>
      <c r="T122" s="1"/>
      <c r="U122" s="2"/>
      <c r="Y122" s="36" t="s">
        <v>47</v>
      </c>
      <c r="Z122" s="34" t="s">
        <v>38</v>
      </c>
      <c r="AA122" s="34"/>
      <c r="AB122" s="34"/>
      <c r="AC122" s="34"/>
    </row>
    <row r="123" spans="1:29" s="17" customFormat="1">
      <c r="A123" s="25" t="s">
        <v>448</v>
      </c>
      <c r="B123" s="25"/>
      <c r="C123" s="13" t="s">
        <v>449</v>
      </c>
      <c r="D123" s="13" t="s">
        <v>450</v>
      </c>
      <c r="E123" s="13" t="s">
        <v>77</v>
      </c>
      <c r="F123" s="14">
        <v>510042851</v>
      </c>
      <c r="G123" s="15" t="str">
        <f>IF(E123="EXTERNA","CON TERCEROS","EN CARTERA")</f>
        <v>EN CARTERA</v>
      </c>
      <c r="H123" s="15"/>
      <c r="I123" s="16" t="s">
        <v>35</v>
      </c>
      <c r="J123" s="13" t="s">
        <v>36</v>
      </c>
      <c r="K123" s="13"/>
      <c r="O123" s="17" t="s">
        <v>37</v>
      </c>
      <c r="P123" s="1">
        <v>213</v>
      </c>
      <c r="Q123" s="18">
        <f>IF(O123="Trimestral",P123*4,P123*12)</f>
        <v>852</v>
      </c>
      <c r="S123" s="4"/>
      <c r="T123" s="1"/>
      <c r="U123" s="2"/>
      <c r="Y123" s="36" t="s">
        <v>47</v>
      </c>
      <c r="Z123" s="34" t="s">
        <v>47</v>
      </c>
      <c r="AA123" s="34"/>
      <c r="AB123" s="34"/>
      <c r="AC123" s="34"/>
    </row>
    <row r="124" spans="1:29" s="17" customFormat="1">
      <c r="A124" s="25" t="s">
        <v>451</v>
      </c>
      <c r="B124" s="25"/>
      <c r="C124" s="13" t="s">
        <v>452</v>
      </c>
      <c r="D124" s="13" t="s">
        <v>453</v>
      </c>
      <c r="E124" s="13" t="s">
        <v>33</v>
      </c>
      <c r="F124" s="14" t="s">
        <v>454</v>
      </c>
      <c r="G124" s="15" t="str">
        <f>IF(E124="EXTERNA","CON TERCEROS","EN CARTERA")</f>
        <v>EN CARTERA</v>
      </c>
      <c r="H124" s="15"/>
      <c r="I124" s="16" t="s">
        <v>35</v>
      </c>
      <c r="J124" s="13" t="s">
        <v>36</v>
      </c>
      <c r="K124" s="13"/>
      <c r="O124" s="17" t="s">
        <v>37</v>
      </c>
      <c r="P124" s="1">
        <v>462</v>
      </c>
      <c r="Q124" s="18">
        <f>IF(O124="Trimestral",P124*4,P124*12)</f>
        <v>1848</v>
      </c>
      <c r="S124" s="4"/>
      <c r="T124" s="1"/>
      <c r="U124" s="2"/>
      <c r="Y124" s="36" t="s">
        <v>47</v>
      </c>
      <c r="Z124" s="34" t="s">
        <v>47</v>
      </c>
      <c r="AA124" s="34"/>
      <c r="AB124" s="34"/>
      <c r="AC124" s="34"/>
    </row>
    <row r="125" spans="1:29" s="17" customFormat="1">
      <c r="A125" s="25" t="s">
        <v>455</v>
      </c>
      <c r="B125" s="25"/>
      <c r="C125" s="13" t="s">
        <v>456</v>
      </c>
      <c r="D125" s="13" t="s">
        <v>457</v>
      </c>
      <c r="E125" s="13" t="s">
        <v>42</v>
      </c>
      <c r="F125" s="14"/>
      <c r="G125" s="15" t="str">
        <f>IF(E125="EXTERNA","CON TERCEROS","EN CARTERA")</f>
        <v>CON TERCEROS</v>
      </c>
      <c r="H125" s="15"/>
      <c r="I125" s="16" t="s">
        <v>35</v>
      </c>
      <c r="J125" s="13" t="s">
        <v>36</v>
      </c>
      <c r="K125" s="13"/>
      <c r="O125" s="17" t="s">
        <v>37</v>
      </c>
      <c r="P125" s="1">
        <v>252</v>
      </c>
      <c r="Q125" s="18">
        <f>IF(O125="Trimestral",P125*4,P125*12)</f>
        <v>1008</v>
      </c>
      <c r="S125" s="4"/>
      <c r="T125" s="1"/>
      <c r="U125" s="2"/>
      <c r="Y125" s="36" t="s">
        <v>47</v>
      </c>
      <c r="Z125" s="34" t="s">
        <v>47</v>
      </c>
      <c r="AA125" s="34"/>
      <c r="AB125" s="34"/>
      <c r="AC125" s="34"/>
    </row>
    <row r="126" spans="1:29" s="17" customFormat="1">
      <c r="A126" s="25" t="s">
        <v>458</v>
      </c>
      <c r="B126" s="25"/>
      <c r="C126" s="13" t="s">
        <v>459</v>
      </c>
      <c r="D126" s="13" t="s">
        <v>457</v>
      </c>
      <c r="E126" s="13" t="s">
        <v>42</v>
      </c>
      <c r="F126" s="14"/>
      <c r="G126" s="15" t="str">
        <f>IF(E126="EXTERNA","CON TERCEROS","EN CARTERA")</f>
        <v>CON TERCEROS</v>
      </c>
      <c r="H126" s="15"/>
      <c r="I126" s="16" t="s">
        <v>35</v>
      </c>
      <c r="J126" s="13" t="s">
        <v>36</v>
      </c>
      <c r="K126" s="13"/>
      <c r="O126" s="17" t="s">
        <v>37</v>
      </c>
      <c r="P126" s="1">
        <v>47</v>
      </c>
      <c r="Q126" s="18">
        <f>IF(O126="Trimestral",P126*4,P126*12)</f>
        <v>188</v>
      </c>
      <c r="S126" s="4"/>
      <c r="T126" s="1"/>
      <c r="U126" s="2"/>
      <c r="Y126" s="36" t="s">
        <v>47</v>
      </c>
      <c r="Z126" s="34" t="s">
        <v>47</v>
      </c>
      <c r="AA126" s="34"/>
      <c r="AB126" s="34"/>
      <c r="AC126" s="34"/>
    </row>
    <row r="127" spans="1:29" s="17" customFormat="1">
      <c r="A127" s="25" t="s">
        <v>460</v>
      </c>
      <c r="B127" s="25"/>
      <c r="C127" s="13" t="s">
        <v>461</v>
      </c>
      <c r="D127" s="13" t="s">
        <v>462</v>
      </c>
      <c r="E127" s="13" t="s">
        <v>42</v>
      </c>
      <c r="F127" s="14">
        <v>762100012632</v>
      </c>
      <c r="G127" s="15" t="s">
        <v>463</v>
      </c>
      <c r="H127" s="15"/>
      <c r="I127" s="16" t="s">
        <v>35</v>
      </c>
      <c r="J127" s="13" t="s">
        <v>36</v>
      </c>
      <c r="K127" s="13"/>
      <c r="O127" s="17" t="s">
        <v>37</v>
      </c>
      <c r="P127" s="1">
        <v>203</v>
      </c>
      <c r="Q127" s="18">
        <f>IF(O127="Trimestral",P127*4,P127*12)</f>
        <v>812</v>
      </c>
      <c r="S127" s="4"/>
      <c r="T127" s="3"/>
      <c r="U127" s="2"/>
      <c r="Y127" s="36" t="s">
        <v>47</v>
      </c>
      <c r="Z127" s="34" t="s">
        <v>38</v>
      </c>
      <c r="AA127" s="34"/>
      <c r="AB127" s="34"/>
      <c r="AC127" s="34"/>
    </row>
    <row r="128" spans="1:29" s="17" customFormat="1">
      <c r="A128" s="25" t="s">
        <v>464</v>
      </c>
      <c r="B128" s="25"/>
      <c r="C128" s="13" t="s">
        <v>465</v>
      </c>
      <c r="D128" s="13" t="s">
        <v>466</v>
      </c>
      <c r="E128" s="13" t="s">
        <v>59</v>
      </c>
      <c r="F128" s="14">
        <v>762000002078</v>
      </c>
      <c r="G128" s="15" t="str">
        <f>IF(E128="EXTERNA","CON TERCEROS","EN CARTERA")</f>
        <v>EN CARTERA</v>
      </c>
      <c r="H128" s="15"/>
      <c r="I128" s="16" t="s">
        <v>35</v>
      </c>
      <c r="J128" s="13" t="s">
        <v>36</v>
      </c>
      <c r="K128" s="13"/>
      <c r="O128" s="17" t="s">
        <v>37</v>
      </c>
      <c r="P128" s="1">
        <v>210</v>
      </c>
      <c r="Q128" s="18">
        <f>IF(O128="Trimestral",P128*4,P128*12)</f>
        <v>840</v>
      </c>
      <c r="S128" s="4"/>
      <c r="T128" s="3"/>
      <c r="U128" s="2"/>
      <c r="Y128" s="36" t="s">
        <v>47</v>
      </c>
      <c r="Z128" s="34" t="s">
        <v>47</v>
      </c>
      <c r="AA128" s="34"/>
      <c r="AB128" s="34"/>
      <c r="AC128" s="34"/>
    </row>
    <row r="129" spans="1:29" s="17" customFormat="1">
      <c r="A129" s="25" t="s">
        <v>467</v>
      </c>
      <c r="B129" s="25"/>
      <c r="C129" s="13" t="s">
        <v>468</v>
      </c>
      <c r="D129" s="13" t="s">
        <v>469</v>
      </c>
      <c r="E129" s="13" t="s">
        <v>77</v>
      </c>
      <c r="F129" s="14">
        <v>510038889</v>
      </c>
      <c r="G129" s="15" t="str">
        <f>IF(E129="EXTERNA","CON TERCEROS","EN CARTERA")</f>
        <v>EN CARTERA</v>
      </c>
      <c r="H129" s="15"/>
      <c r="I129" s="16" t="s">
        <v>35</v>
      </c>
      <c r="J129" s="13" t="s">
        <v>36</v>
      </c>
      <c r="K129" s="13"/>
      <c r="N129" s="17" t="s">
        <v>470</v>
      </c>
      <c r="O129" s="17" t="s">
        <v>37</v>
      </c>
      <c r="P129" s="1">
        <v>688</v>
      </c>
      <c r="Q129" s="18">
        <f>IF(O129="Trimestral",P129*4,P129*12)</f>
        <v>2752</v>
      </c>
      <c r="S129" s="4"/>
      <c r="T129" s="1"/>
      <c r="U129" s="2"/>
      <c r="Y129" s="34" t="s">
        <v>47</v>
      </c>
      <c r="Z129" s="34" t="s">
        <v>47</v>
      </c>
      <c r="AA129" s="34"/>
      <c r="AB129" s="34"/>
      <c r="AC129" s="34"/>
    </row>
    <row r="130" spans="1:29" s="17" customFormat="1">
      <c r="A130" s="25" t="s">
        <v>471</v>
      </c>
      <c r="B130" s="25"/>
      <c r="C130" s="13" t="s">
        <v>472</v>
      </c>
      <c r="D130" s="13" t="s">
        <v>473</v>
      </c>
      <c r="E130" s="13" t="s">
        <v>77</v>
      </c>
      <c r="F130" s="14">
        <v>510015769</v>
      </c>
      <c r="G130" s="15" t="str">
        <f>IF(E130="EXTERNA","CON TERCEROS","EN CARTERA")</f>
        <v>EN CARTERA</v>
      </c>
      <c r="H130" s="15"/>
      <c r="I130" s="16" t="s">
        <v>35</v>
      </c>
      <c r="J130" s="13" t="s">
        <v>36</v>
      </c>
      <c r="K130" s="13"/>
      <c r="L130" s="17" t="s">
        <v>73</v>
      </c>
      <c r="O130" s="17" t="s">
        <v>37</v>
      </c>
      <c r="P130" s="1">
        <v>749</v>
      </c>
      <c r="Q130" s="18">
        <f>IF(O130="Trimestral",P130*4,P130*12)</f>
        <v>2996</v>
      </c>
      <c r="S130" s="4"/>
      <c r="T130" s="1"/>
      <c r="U130" s="2"/>
      <c r="Y130" s="36" t="s">
        <v>47</v>
      </c>
      <c r="Z130" s="34" t="s">
        <v>38</v>
      </c>
      <c r="AA130" s="34"/>
      <c r="AB130" s="34"/>
      <c r="AC130" s="34"/>
    </row>
    <row r="131" spans="1:29" s="17" customFormat="1">
      <c r="A131" s="25" t="s">
        <v>474</v>
      </c>
      <c r="B131" s="25"/>
      <c r="C131" s="13" t="s">
        <v>475</v>
      </c>
      <c r="D131" s="13" t="s">
        <v>476</v>
      </c>
      <c r="E131" s="13" t="s">
        <v>59</v>
      </c>
      <c r="F131" s="14">
        <v>762100006670</v>
      </c>
      <c r="G131" s="15" t="str">
        <f>IF(E131="EXTERNA","CON TERCEROS","EN CARTERA")</f>
        <v>EN CARTERA</v>
      </c>
      <c r="H131" s="15"/>
      <c r="I131" s="16" t="s">
        <v>35</v>
      </c>
      <c r="J131" s="13" t="s">
        <v>36</v>
      </c>
      <c r="K131" s="13"/>
      <c r="O131" s="17" t="s">
        <v>37</v>
      </c>
      <c r="P131" s="1">
        <v>845</v>
      </c>
      <c r="Q131" s="18">
        <f>IF(O131="Trimestral",P131*4,P131*12)</f>
        <v>3380</v>
      </c>
      <c r="S131" s="4"/>
      <c r="T131" s="1"/>
      <c r="U131" s="2"/>
      <c r="Y131" s="36" t="s">
        <v>47</v>
      </c>
      <c r="Z131" s="34" t="s">
        <v>38</v>
      </c>
      <c r="AA131" s="34"/>
      <c r="AB131" s="34"/>
      <c r="AC131" s="34"/>
    </row>
    <row r="132" spans="1:29" s="17" customFormat="1">
      <c r="A132" s="25" t="s">
        <v>477</v>
      </c>
      <c r="B132" s="25"/>
      <c r="C132" s="13" t="s">
        <v>478</v>
      </c>
      <c r="D132" s="13" t="s">
        <v>479</v>
      </c>
      <c r="E132" s="13" t="s">
        <v>59</v>
      </c>
      <c r="F132" s="14">
        <v>761080327757</v>
      </c>
      <c r="G132" s="15" t="str">
        <f>IF(E132="EXTERNA","CON TERCEROS","EN CARTERA")</f>
        <v>EN CARTERA</v>
      </c>
      <c r="H132" s="15"/>
      <c r="I132" s="16" t="s">
        <v>35</v>
      </c>
      <c r="J132" s="13" t="s">
        <v>36</v>
      </c>
      <c r="K132" s="13"/>
      <c r="O132" s="17" t="s">
        <v>37</v>
      </c>
      <c r="P132" s="1">
        <v>372</v>
      </c>
      <c r="Q132" s="18">
        <f>IF(O132="Trimestral",P132*4,P132*12)</f>
        <v>1488</v>
      </c>
      <c r="S132" s="4"/>
      <c r="T132" s="1"/>
      <c r="U132" s="2"/>
      <c r="Y132" s="36" t="s">
        <v>47</v>
      </c>
      <c r="Z132" s="34" t="s">
        <v>254</v>
      </c>
      <c r="AA132" s="34"/>
      <c r="AB132" s="34"/>
      <c r="AC132" s="34"/>
    </row>
    <row r="133" spans="1:29" s="17" customFormat="1">
      <c r="A133" s="25" t="s">
        <v>480</v>
      </c>
      <c r="B133" s="25"/>
      <c r="C133" s="13" t="s">
        <v>481</v>
      </c>
      <c r="D133" s="13" t="s">
        <v>482</v>
      </c>
      <c r="E133" s="13" t="s">
        <v>42</v>
      </c>
      <c r="F133" s="14"/>
      <c r="G133" s="15" t="str">
        <f>IF(E133="EXTERNA","CON TERCEROS","EN CARTERA")</f>
        <v>CON TERCEROS</v>
      </c>
      <c r="H133" s="15"/>
      <c r="I133" s="16" t="s">
        <v>35</v>
      </c>
      <c r="J133" s="13" t="s">
        <v>36</v>
      </c>
      <c r="K133" s="13"/>
      <c r="O133" s="17" t="s">
        <v>37</v>
      </c>
      <c r="P133" s="1">
        <v>209</v>
      </c>
      <c r="Q133" s="18">
        <f>IF(O133="Trimestral",P133*4,P133*12)</f>
        <v>836</v>
      </c>
      <c r="S133" s="4"/>
      <c r="T133" s="1"/>
      <c r="U133" s="2"/>
      <c r="Y133" s="36" t="s">
        <v>47</v>
      </c>
      <c r="Z133" s="34" t="s">
        <v>38</v>
      </c>
      <c r="AA133" s="34"/>
      <c r="AB133" s="34"/>
      <c r="AC133" s="34"/>
    </row>
    <row r="134" spans="1:29" s="17" customFormat="1">
      <c r="A134" s="25" t="s">
        <v>483</v>
      </c>
      <c r="B134" s="25"/>
      <c r="C134" s="13" t="s">
        <v>484</v>
      </c>
      <c r="D134" s="13" t="s">
        <v>485</v>
      </c>
      <c r="E134" s="13" t="s">
        <v>59</v>
      </c>
      <c r="F134" s="14">
        <v>762000004103</v>
      </c>
      <c r="G134" s="15" t="str">
        <f>IF(E134="EXTERNA","CON TERCEROS","EN CARTERA")</f>
        <v>EN CARTERA</v>
      </c>
      <c r="H134" s="15"/>
      <c r="I134" s="16" t="s">
        <v>35</v>
      </c>
      <c r="J134" s="13" t="s">
        <v>36</v>
      </c>
      <c r="K134" s="13"/>
      <c r="O134" s="17" t="s">
        <v>37</v>
      </c>
      <c r="P134" s="1">
        <v>440</v>
      </c>
      <c r="Q134" s="18">
        <f>IF(O134="Trimestral",P134*4,P134*12)</f>
        <v>1760</v>
      </c>
      <c r="S134" s="4"/>
      <c r="T134" s="1"/>
      <c r="U134" s="2"/>
      <c r="Y134" s="36" t="s">
        <v>47</v>
      </c>
      <c r="Z134" s="34" t="s">
        <v>47</v>
      </c>
      <c r="AA134" s="34" t="s">
        <v>47</v>
      </c>
      <c r="AB134" s="34"/>
      <c r="AC134" s="34"/>
    </row>
    <row r="135" spans="1:29" s="17" customFormat="1">
      <c r="A135" s="25" t="s">
        <v>486</v>
      </c>
      <c r="B135" s="25"/>
      <c r="C135" s="13" t="s">
        <v>487</v>
      </c>
      <c r="D135" s="13" t="s">
        <v>488</v>
      </c>
      <c r="E135" s="13" t="s">
        <v>42</v>
      </c>
      <c r="F135" s="14"/>
      <c r="G135" s="15" t="str">
        <f>IF(E135="EXTERNA","CON TERCEROS","EN CARTERA")</f>
        <v>CON TERCEROS</v>
      </c>
      <c r="H135" s="15"/>
      <c r="I135" s="16" t="s">
        <v>35</v>
      </c>
      <c r="J135" s="13" t="s">
        <v>36</v>
      </c>
      <c r="K135" s="13"/>
      <c r="O135" s="17" t="s">
        <v>37</v>
      </c>
      <c r="P135" s="1">
        <v>249</v>
      </c>
      <c r="Q135" s="18">
        <f>IF(O135="Trimestral",P135*4,P135*12)</f>
        <v>996</v>
      </c>
      <c r="S135" s="4"/>
      <c r="T135" s="1"/>
      <c r="U135" s="2"/>
      <c r="Y135" s="36" t="s">
        <v>47</v>
      </c>
      <c r="Z135" s="34" t="s">
        <v>38</v>
      </c>
      <c r="AA135" s="34"/>
      <c r="AB135" s="34"/>
      <c r="AC135" s="34"/>
    </row>
    <row r="136" spans="1:29" s="17" customFormat="1">
      <c r="A136" s="25" t="s">
        <v>489</v>
      </c>
      <c r="B136" s="25"/>
      <c r="C136" s="13" t="s">
        <v>490</v>
      </c>
      <c r="D136" s="13" t="s">
        <v>491</v>
      </c>
      <c r="E136" s="13" t="s">
        <v>33</v>
      </c>
      <c r="F136" s="14">
        <v>140373000086</v>
      </c>
      <c r="G136" s="15" t="str">
        <f>IF(E136="EXTERNA","CON TERCEROS","EN CARTERA")</f>
        <v>EN CARTERA</v>
      </c>
      <c r="H136" s="15"/>
      <c r="I136" s="16" t="s">
        <v>35</v>
      </c>
      <c r="J136" s="13" t="s">
        <v>36</v>
      </c>
      <c r="K136" s="13"/>
      <c r="O136" s="17" t="s">
        <v>37</v>
      </c>
      <c r="P136" s="1">
        <v>254</v>
      </c>
      <c r="Q136" s="18">
        <f>IF(O136="Trimestral",P136*4,P136*12)</f>
        <v>1016</v>
      </c>
      <c r="S136" s="4"/>
      <c r="T136" s="1"/>
      <c r="U136" s="2"/>
      <c r="Y136" s="36" t="s">
        <v>47</v>
      </c>
      <c r="Z136" s="34" t="s">
        <v>47</v>
      </c>
      <c r="AA136" s="34"/>
      <c r="AB136" s="34"/>
      <c r="AC136" s="34"/>
    </row>
    <row r="137" spans="1:29" s="17" customFormat="1">
      <c r="A137" s="25" t="s">
        <v>492</v>
      </c>
      <c r="B137" s="25"/>
      <c r="C137" s="13" t="s">
        <v>493</v>
      </c>
      <c r="D137" s="13" t="s">
        <v>494</v>
      </c>
      <c r="E137" s="13" t="s">
        <v>33</v>
      </c>
      <c r="F137" s="14" t="s">
        <v>495</v>
      </c>
      <c r="G137" s="15" t="str">
        <f>IF(E137="EXTERNA","CON TERCEROS","EN CARTERA")</f>
        <v>EN CARTERA</v>
      </c>
      <c r="H137" s="15"/>
      <c r="I137" s="16" t="s">
        <v>35</v>
      </c>
      <c r="J137" s="13" t="s">
        <v>36</v>
      </c>
      <c r="K137" s="13"/>
      <c r="O137" s="17" t="s">
        <v>37</v>
      </c>
      <c r="P137" s="1">
        <v>141</v>
      </c>
      <c r="Q137" s="18">
        <f>IF(O137="Trimestral",P137*4,P137*12)</f>
        <v>564</v>
      </c>
      <c r="S137" s="4"/>
      <c r="T137" s="1"/>
      <c r="U137" s="2"/>
      <c r="Y137" s="34" t="s">
        <v>47</v>
      </c>
      <c r="Z137" s="34" t="s">
        <v>38</v>
      </c>
      <c r="AA137" s="34"/>
      <c r="AB137" s="34"/>
      <c r="AC137" s="34"/>
    </row>
    <row r="138" spans="1:29" s="17" customFormat="1">
      <c r="A138" s="25" t="s">
        <v>496</v>
      </c>
      <c r="B138" s="25"/>
      <c r="C138" s="13" t="s">
        <v>497</v>
      </c>
      <c r="D138" s="13" t="s">
        <v>498</v>
      </c>
      <c r="E138" s="13" t="s">
        <v>33</v>
      </c>
      <c r="F138" s="14" t="s">
        <v>499</v>
      </c>
      <c r="G138" s="15" t="str">
        <f>IF(E138="EXTERNA","CON TERCEROS","EN CARTERA")</f>
        <v>EN CARTERA</v>
      </c>
      <c r="H138" s="15"/>
      <c r="I138" s="16" t="s">
        <v>35</v>
      </c>
      <c r="J138" s="13" t="s">
        <v>36</v>
      </c>
      <c r="K138" s="13"/>
      <c r="O138" s="17" t="s">
        <v>37</v>
      </c>
      <c r="P138" s="1">
        <v>979</v>
      </c>
      <c r="Q138" s="18">
        <f>IF(O138="Trimestral",P138*4,P138*12)</f>
        <v>3916</v>
      </c>
      <c r="S138" s="4"/>
      <c r="T138" s="1"/>
      <c r="U138" s="2"/>
      <c r="Y138" s="36" t="s">
        <v>47</v>
      </c>
      <c r="Z138" s="34" t="s">
        <v>254</v>
      </c>
      <c r="AA138" s="34" t="s">
        <v>47</v>
      </c>
      <c r="AB138" s="34"/>
      <c r="AC138" s="34"/>
    </row>
    <row r="139" spans="1:29" s="17" customFormat="1">
      <c r="A139" s="25" t="s">
        <v>500</v>
      </c>
      <c r="B139" s="25"/>
      <c r="C139" s="13" t="s">
        <v>501</v>
      </c>
      <c r="D139" s="13" t="s">
        <v>502</v>
      </c>
      <c r="E139" s="13" t="s">
        <v>59</v>
      </c>
      <c r="F139" s="14">
        <v>761180189607</v>
      </c>
      <c r="G139" s="15" t="str">
        <f>IF(E139="EXTERNA","CON TERCEROS","EN CARTERA")</f>
        <v>EN CARTERA</v>
      </c>
      <c r="H139" s="15"/>
      <c r="I139" s="16" t="s">
        <v>35</v>
      </c>
      <c r="J139" s="13" t="s">
        <v>36</v>
      </c>
      <c r="K139" s="13"/>
      <c r="O139" s="17" t="s">
        <v>37</v>
      </c>
      <c r="P139" s="1">
        <v>435</v>
      </c>
      <c r="Q139" s="18">
        <f>IF(O139="Trimestral",P139*4,P139*12)</f>
        <v>1740</v>
      </c>
      <c r="S139" s="4"/>
      <c r="T139" s="3"/>
      <c r="U139" s="2"/>
      <c r="Y139" s="36" t="s">
        <v>47</v>
      </c>
      <c r="Z139" s="34" t="s">
        <v>38</v>
      </c>
      <c r="AA139" s="34"/>
      <c r="AB139" s="34"/>
      <c r="AC139" s="34"/>
    </row>
    <row r="140" spans="1:29" s="17" customFormat="1">
      <c r="A140" s="25" t="s">
        <v>503</v>
      </c>
      <c r="B140" s="25"/>
      <c r="C140" s="22" t="s">
        <v>504</v>
      </c>
      <c r="D140" s="13" t="s">
        <v>505</v>
      </c>
      <c r="E140" s="13" t="s">
        <v>59</v>
      </c>
      <c r="F140" s="14">
        <v>760180419610</v>
      </c>
      <c r="G140" s="15" t="str">
        <f>IF(E140="EXTERNA","CON TERCEROS","EN CARTERA")</f>
        <v>EN CARTERA</v>
      </c>
      <c r="H140" s="15"/>
      <c r="I140" s="16" t="s">
        <v>35</v>
      </c>
      <c r="J140" s="13" t="s">
        <v>36</v>
      </c>
      <c r="K140" s="13"/>
      <c r="O140" s="17" t="s">
        <v>37</v>
      </c>
      <c r="P140" s="1">
        <v>202</v>
      </c>
      <c r="Q140" s="18">
        <f>IF(O140="Trimestral",P140*4,P140*12)</f>
        <v>808</v>
      </c>
      <c r="S140" s="4"/>
      <c r="T140" s="1"/>
      <c r="U140" s="2"/>
      <c r="Y140" s="36" t="s">
        <v>47</v>
      </c>
      <c r="Z140" s="34" t="s">
        <v>47</v>
      </c>
      <c r="AA140" s="34"/>
      <c r="AB140" s="34"/>
      <c r="AC140" s="34"/>
    </row>
    <row r="141" spans="1:29" s="17" customFormat="1">
      <c r="A141" s="25" t="s">
        <v>506</v>
      </c>
      <c r="B141" s="25"/>
      <c r="C141" s="13" t="s">
        <v>507</v>
      </c>
      <c r="D141" s="13" t="s">
        <v>508</v>
      </c>
      <c r="E141" s="13" t="s">
        <v>77</v>
      </c>
      <c r="F141" s="14">
        <v>563065</v>
      </c>
      <c r="G141" s="15" t="str">
        <f>IF(E141="EXTERNA","CON TERCEROS","EN CARTERA")</f>
        <v>EN CARTERA</v>
      </c>
      <c r="H141" s="15"/>
      <c r="I141" s="16" t="s">
        <v>35</v>
      </c>
      <c r="J141" s="13" t="s">
        <v>36</v>
      </c>
      <c r="K141" s="13"/>
      <c r="O141" s="17" t="s">
        <v>37</v>
      </c>
      <c r="P141" s="1">
        <v>217</v>
      </c>
      <c r="Q141" s="18">
        <f>IF(O141="Trimestral",P141*4,P141*12)</f>
        <v>868</v>
      </c>
      <c r="S141" s="4"/>
      <c r="T141" s="1"/>
      <c r="U141" s="2"/>
      <c r="Y141" s="36" t="s">
        <v>47</v>
      </c>
      <c r="Z141" s="34" t="s">
        <v>38</v>
      </c>
      <c r="AA141" s="34"/>
      <c r="AB141" s="34"/>
      <c r="AC141" s="34"/>
    </row>
    <row r="142" spans="1:29" s="17" customFormat="1">
      <c r="A142" s="25" t="s">
        <v>509</v>
      </c>
      <c r="B142" s="25"/>
      <c r="C142" s="13" t="s">
        <v>510</v>
      </c>
      <c r="D142" s="13" t="s">
        <v>511</v>
      </c>
      <c r="E142" s="13" t="s">
        <v>77</v>
      </c>
      <c r="F142" s="14">
        <v>510002713</v>
      </c>
      <c r="G142" s="15" t="str">
        <f>IF(E142="EXTERNA","CON TERCEROS","EN CARTERA")</f>
        <v>EN CARTERA</v>
      </c>
      <c r="H142" s="15"/>
      <c r="I142" s="16" t="s">
        <v>35</v>
      </c>
      <c r="J142" s="13" t="s">
        <v>36</v>
      </c>
      <c r="K142" s="13"/>
      <c r="O142" s="17" t="s">
        <v>37</v>
      </c>
      <c r="P142" s="1">
        <v>265</v>
      </c>
      <c r="Q142" s="18">
        <f>IF(O142="Trimestral",P142*4,P142*12)</f>
        <v>1060</v>
      </c>
      <c r="S142" s="4"/>
      <c r="T142" s="1"/>
      <c r="U142" s="2"/>
      <c r="Y142" s="36" t="s">
        <v>47</v>
      </c>
      <c r="Z142" s="34" t="s">
        <v>38</v>
      </c>
      <c r="AA142" s="34"/>
      <c r="AB142" s="34"/>
      <c r="AC142" s="34"/>
    </row>
    <row r="143" spans="1:29" s="17" customFormat="1">
      <c r="A143" s="25" t="s">
        <v>512</v>
      </c>
      <c r="B143" s="25"/>
      <c r="C143" s="13" t="s">
        <v>513</v>
      </c>
      <c r="D143" s="13" t="s">
        <v>514</v>
      </c>
      <c r="E143" s="13" t="s">
        <v>59</v>
      </c>
      <c r="F143" s="14">
        <v>760480016893</v>
      </c>
      <c r="G143" s="15" t="str">
        <f>IF(E143="EXTERNA","CON TERCEROS","EN CARTERA")</f>
        <v>EN CARTERA</v>
      </c>
      <c r="H143" s="15"/>
      <c r="I143" s="16" t="s">
        <v>35</v>
      </c>
      <c r="J143" s="13" t="s">
        <v>36</v>
      </c>
      <c r="K143" s="13"/>
      <c r="O143" s="17" t="s">
        <v>37</v>
      </c>
      <c r="P143" s="1">
        <v>184</v>
      </c>
      <c r="Q143" s="18">
        <f>IF(O143="Trimestral",P143*4,P143*12)</f>
        <v>736</v>
      </c>
      <c r="S143" s="4"/>
      <c r="T143" s="1"/>
      <c r="U143" s="2"/>
      <c r="Y143" s="36" t="s">
        <v>47</v>
      </c>
      <c r="Z143" s="34" t="s">
        <v>38</v>
      </c>
      <c r="AA143" s="34"/>
      <c r="AB143" s="34"/>
      <c r="AC143" s="34"/>
    </row>
    <row r="144" spans="1:29" s="17" customFormat="1">
      <c r="A144" s="25" t="s">
        <v>515</v>
      </c>
      <c r="B144" s="25"/>
      <c r="C144" s="13" t="s">
        <v>516</v>
      </c>
      <c r="D144" s="13" t="s">
        <v>517</v>
      </c>
      <c r="E144" s="13" t="s">
        <v>33</v>
      </c>
      <c r="F144" s="14" t="s">
        <v>518</v>
      </c>
      <c r="G144" s="15" t="s">
        <v>302</v>
      </c>
      <c r="H144" s="15"/>
      <c r="I144" s="16" t="s">
        <v>35</v>
      </c>
      <c r="J144" s="13" t="s">
        <v>36</v>
      </c>
      <c r="K144" s="13"/>
      <c r="O144" s="17" t="s">
        <v>37</v>
      </c>
      <c r="P144" s="1">
        <v>217</v>
      </c>
      <c r="Q144" s="18">
        <f>IF(O144="Trimestral",P144*4,P144*12)</f>
        <v>868</v>
      </c>
      <c r="S144" s="4"/>
      <c r="T144" s="1"/>
      <c r="U144" s="2"/>
      <c r="Y144" s="36" t="s">
        <v>47</v>
      </c>
      <c r="Z144" s="34" t="s">
        <v>47</v>
      </c>
      <c r="AA144" s="34"/>
      <c r="AB144" s="34"/>
      <c r="AC144" s="34"/>
    </row>
    <row r="145" spans="1:30" s="17" customFormat="1">
      <c r="A145" s="25" t="s">
        <v>519</v>
      </c>
      <c r="B145" s="25"/>
      <c r="C145" s="13" t="s">
        <v>520</v>
      </c>
      <c r="D145" s="13" t="s">
        <v>521</v>
      </c>
      <c r="E145" s="13" t="s">
        <v>72</v>
      </c>
      <c r="F145" s="14">
        <v>42798010</v>
      </c>
      <c r="G145" s="15" t="str">
        <f>IF(E145="EXTERNA","CON TERCEROS","EN CARTERA")</f>
        <v>EN CARTERA</v>
      </c>
      <c r="H145" s="15"/>
      <c r="I145" s="16" t="s">
        <v>35</v>
      </c>
      <c r="J145" s="13" t="s">
        <v>36</v>
      </c>
      <c r="K145" s="13"/>
      <c r="O145" s="17" t="s">
        <v>37</v>
      </c>
      <c r="P145" s="1">
        <v>353</v>
      </c>
      <c r="Q145" s="18">
        <f>IF(O145="Trimestral",P145*4,P145*12)</f>
        <v>1412</v>
      </c>
      <c r="S145" s="4"/>
      <c r="T145" s="1"/>
      <c r="U145" s="2"/>
      <c r="Y145" s="36" t="s">
        <v>47</v>
      </c>
      <c r="Z145" s="34" t="s">
        <v>38</v>
      </c>
      <c r="AA145" s="34"/>
      <c r="AB145" s="34"/>
      <c r="AC145" s="34"/>
    </row>
    <row r="146" spans="1:30" s="17" customFormat="1">
      <c r="A146" s="25" t="s">
        <v>522</v>
      </c>
      <c r="B146" s="25"/>
      <c r="C146" s="13" t="s">
        <v>523</v>
      </c>
      <c r="D146" s="13" t="s">
        <v>524</v>
      </c>
      <c r="E146" s="13" t="s">
        <v>33</v>
      </c>
      <c r="F146" s="14" t="s">
        <v>525</v>
      </c>
      <c r="G146" s="15" t="str">
        <f>IF(E146="EXTERNA","CON TERCEROS","EN CARTERA")</f>
        <v>EN CARTERA</v>
      </c>
      <c r="H146" s="15"/>
      <c r="I146" s="16" t="s">
        <v>35</v>
      </c>
      <c r="J146" s="13" t="s">
        <v>36</v>
      </c>
      <c r="K146" s="13"/>
      <c r="O146" s="17" t="s">
        <v>37</v>
      </c>
      <c r="P146" s="1">
        <v>222</v>
      </c>
      <c r="Q146" s="18">
        <f>IF(O146="Trimestral",P146*4,P146*12)</f>
        <v>888</v>
      </c>
      <c r="S146" s="4"/>
      <c r="T146" s="1"/>
      <c r="U146" s="2"/>
      <c r="Y146" s="34" t="s">
        <v>47</v>
      </c>
      <c r="Z146" s="34" t="s">
        <v>47</v>
      </c>
      <c r="AA146" s="34"/>
      <c r="AB146" s="34"/>
      <c r="AC146" s="34"/>
    </row>
    <row r="147" spans="1:30" s="17" customFormat="1">
      <c r="A147" s="25" t="s">
        <v>526</v>
      </c>
      <c r="B147" s="25"/>
      <c r="C147" s="13" t="s">
        <v>527</v>
      </c>
      <c r="D147" s="13" t="s">
        <v>528</v>
      </c>
      <c r="E147" s="13" t="s">
        <v>59</v>
      </c>
      <c r="F147" s="14">
        <v>761180518329</v>
      </c>
      <c r="G147" s="15" t="str">
        <f>IF(E147="EXTERNA","CON TERCEROS","EN CARTERA")</f>
        <v>EN CARTERA</v>
      </c>
      <c r="H147" s="15"/>
      <c r="I147" s="16" t="s">
        <v>35</v>
      </c>
      <c r="J147" s="13" t="s">
        <v>36</v>
      </c>
      <c r="K147" s="13"/>
      <c r="O147" s="17" t="s">
        <v>37</v>
      </c>
      <c r="P147" s="1">
        <v>185</v>
      </c>
      <c r="Q147" s="18">
        <f>IF(O147="Trimestral",P147*4,P147*12)</f>
        <v>740</v>
      </c>
      <c r="S147" s="4"/>
      <c r="T147" s="3"/>
      <c r="U147" s="2"/>
      <c r="Y147" s="36" t="s">
        <v>47</v>
      </c>
      <c r="Z147" s="34" t="s">
        <v>47</v>
      </c>
      <c r="AA147" s="34"/>
      <c r="AB147" s="34"/>
      <c r="AC147" s="34"/>
    </row>
    <row r="148" spans="1:30" s="17" customFormat="1">
      <c r="A148" s="25" t="s">
        <v>529</v>
      </c>
      <c r="B148" s="25"/>
      <c r="C148" s="13" t="s">
        <v>530</v>
      </c>
      <c r="D148" s="13" t="s">
        <v>531</v>
      </c>
      <c r="E148" s="13" t="s">
        <v>33</v>
      </c>
      <c r="F148" s="14" t="s">
        <v>532</v>
      </c>
      <c r="G148" s="15" t="str">
        <f>IF(E148="EXTERNA","CON TERCEROS","EN CARTERA")</f>
        <v>EN CARTERA</v>
      </c>
      <c r="H148" s="15"/>
      <c r="I148" s="16" t="s">
        <v>35</v>
      </c>
      <c r="J148" s="13" t="s">
        <v>36</v>
      </c>
      <c r="K148" s="13"/>
      <c r="O148" s="17" t="s">
        <v>37</v>
      </c>
      <c r="P148" s="1">
        <v>209</v>
      </c>
      <c r="Q148" s="18">
        <f>IF(O148="Trimestral",P148*4,P148*12)</f>
        <v>836</v>
      </c>
      <c r="S148" s="23"/>
      <c r="T148" s="1"/>
      <c r="U148" s="2"/>
      <c r="Y148" s="36" t="s">
        <v>47</v>
      </c>
      <c r="Z148" s="34" t="s">
        <v>47</v>
      </c>
      <c r="AA148" s="34"/>
      <c r="AB148" s="34"/>
      <c r="AC148" s="34"/>
    </row>
    <row r="149" spans="1:30" s="17" customFormat="1">
      <c r="A149" s="25" t="s">
        <v>533</v>
      </c>
      <c r="B149" s="25"/>
      <c r="C149" s="13" t="s">
        <v>534</v>
      </c>
      <c r="D149" s="13" t="s">
        <v>535</v>
      </c>
      <c r="E149" s="13" t="s">
        <v>59</v>
      </c>
      <c r="F149" s="14">
        <v>761780192597</v>
      </c>
      <c r="G149" s="15" t="str">
        <f>IF(E149="EXTERNA","CON TERCEROS","EN CARTERA")</f>
        <v>EN CARTERA</v>
      </c>
      <c r="H149" s="15"/>
      <c r="I149" s="16" t="s">
        <v>35</v>
      </c>
      <c r="J149" s="13" t="s">
        <v>36</v>
      </c>
      <c r="K149" s="13"/>
      <c r="O149" s="17" t="s">
        <v>37</v>
      </c>
      <c r="P149" s="1">
        <v>142</v>
      </c>
      <c r="Q149" s="18">
        <f>IF(O149="Trimestral",P149*4,P149*12)</f>
        <v>568</v>
      </c>
      <c r="S149" s="4"/>
      <c r="T149" s="3"/>
      <c r="U149" s="2"/>
      <c r="Y149" s="36" t="s">
        <v>47</v>
      </c>
      <c r="Z149" s="34" t="s">
        <v>38</v>
      </c>
      <c r="AA149" s="34"/>
      <c r="AB149" s="34"/>
      <c r="AC149" s="34"/>
    </row>
    <row r="150" spans="1:30" s="17" customFormat="1">
      <c r="A150" s="25" t="s">
        <v>536</v>
      </c>
      <c r="B150" s="25"/>
      <c r="C150" s="13" t="s">
        <v>537</v>
      </c>
      <c r="D150" s="13" t="s">
        <v>538</v>
      </c>
      <c r="E150" s="13" t="s">
        <v>72</v>
      </c>
      <c r="F150" s="14">
        <v>54875063</v>
      </c>
      <c r="G150" s="15" t="str">
        <f>IF(E150="EXTERNA","CON TERCEROS","EN CARTERA")</f>
        <v>EN CARTERA</v>
      </c>
      <c r="H150" s="15"/>
      <c r="I150" s="16" t="s">
        <v>35</v>
      </c>
      <c r="J150" s="13" t="s">
        <v>36</v>
      </c>
      <c r="K150" s="13"/>
      <c r="O150" s="17" t="s">
        <v>37</v>
      </c>
      <c r="P150" s="1"/>
      <c r="Q150" s="18">
        <f>IF(O150="Trimestral",P150*4,P150*12)</f>
        <v>0</v>
      </c>
      <c r="S150" s="4"/>
      <c r="T150" s="1"/>
      <c r="U150" s="2"/>
      <c r="Y150" s="36" t="s">
        <v>47</v>
      </c>
      <c r="Z150" s="34" t="s">
        <v>47</v>
      </c>
      <c r="AA150" s="34"/>
      <c r="AB150" s="34"/>
      <c r="AC150" s="34"/>
    </row>
    <row r="151" spans="1:30" s="17" customFormat="1">
      <c r="A151" s="25" t="s">
        <v>539</v>
      </c>
      <c r="B151" s="25"/>
      <c r="C151" s="13" t="s">
        <v>540</v>
      </c>
      <c r="D151" s="13"/>
      <c r="E151" s="13"/>
      <c r="F151" s="14"/>
      <c r="G151" s="15"/>
      <c r="H151" s="15"/>
      <c r="I151" s="16"/>
      <c r="J151" s="13"/>
      <c r="K151" s="13"/>
      <c r="P151" s="3"/>
      <c r="Q151" s="18"/>
      <c r="S151" s="4"/>
      <c r="T151" s="3"/>
      <c r="U151" s="2"/>
      <c r="Y151" s="34"/>
      <c r="Z151" s="34"/>
      <c r="AA151" s="34"/>
      <c r="AB151" s="34"/>
      <c r="AC151" s="34"/>
    </row>
    <row r="152" spans="1:30" s="17" customFormat="1">
      <c r="A152" s="25" t="s">
        <v>541</v>
      </c>
      <c r="B152" s="25"/>
      <c r="C152" s="13" t="s">
        <v>542</v>
      </c>
      <c r="D152" s="13"/>
      <c r="E152" s="13"/>
      <c r="F152" s="14"/>
      <c r="G152" s="15"/>
      <c r="H152" s="15"/>
      <c r="I152" s="16"/>
      <c r="J152" s="13"/>
      <c r="K152" s="13"/>
      <c r="P152" s="1"/>
      <c r="Q152" s="18"/>
      <c r="S152" s="4"/>
      <c r="T152" s="1"/>
      <c r="U152" s="2"/>
      <c r="Y152" s="36"/>
      <c r="Z152" s="34"/>
      <c r="AA152" s="34"/>
      <c r="AB152" s="34"/>
      <c r="AC152" s="34"/>
    </row>
    <row r="153" spans="1:30" s="17" customFormat="1">
      <c r="A153" s="25" t="s">
        <v>543</v>
      </c>
      <c r="B153" s="25"/>
      <c r="C153" s="13" t="s">
        <v>544</v>
      </c>
      <c r="D153" s="13" t="s">
        <v>545</v>
      </c>
      <c r="E153" s="13"/>
      <c r="F153" s="14"/>
      <c r="G153" s="15"/>
      <c r="H153" s="15"/>
      <c r="I153" s="16"/>
      <c r="J153" s="13"/>
      <c r="K153" s="13"/>
      <c r="P153" s="1"/>
      <c r="Q153" s="18"/>
      <c r="S153" s="4"/>
      <c r="T153" s="1"/>
      <c r="U153" s="2"/>
      <c r="Y153" s="36"/>
      <c r="Z153" s="34" t="s">
        <v>47</v>
      </c>
      <c r="AA153" s="34"/>
      <c r="AB153" s="34"/>
      <c r="AC153" s="34"/>
    </row>
    <row r="154" spans="1:30" s="17" customFormat="1">
      <c r="A154" s="25" t="s">
        <v>546</v>
      </c>
      <c r="B154" s="25"/>
      <c r="C154" s="13" t="s">
        <v>547</v>
      </c>
      <c r="D154" s="13"/>
      <c r="E154" s="13"/>
      <c r="F154" s="14"/>
      <c r="G154" s="15"/>
      <c r="H154" s="15"/>
      <c r="I154" s="16"/>
      <c r="J154" s="13"/>
      <c r="K154" s="13"/>
      <c r="P154" s="1"/>
      <c r="Q154" s="18"/>
      <c r="S154" s="4"/>
      <c r="T154" s="1"/>
      <c r="U154" s="2"/>
      <c r="Y154" s="36"/>
      <c r="Z154" s="34"/>
      <c r="AA154" s="34"/>
      <c r="AB154" s="34"/>
      <c r="AC154" s="34"/>
    </row>
    <row r="155" spans="1:30" s="17" customFormat="1">
      <c r="A155" s="25" t="s">
        <v>548</v>
      </c>
      <c r="B155" s="25"/>
      <c r="C155" s="13" t="s">
        <v>549</v>
      </c>
      <c r="D155" s="13"/>
      <c r="E155" s="13"/>
      <c r="F155" s="14"/>
      <c r="G155" s="15"/>
      <c r="H155" s="15"/>
      <c r="I155" s="16"/>
      <c r="J155" s="13"/>
      <c r="K155" s="13"/>
      <c r="P155" s="1"/>
      <c r="Q155" s="18"/>
      <c r="S155" s="4"/>
      <c r="T155" s="3"/>
      <c r="U155" s="2"/>
      <c r="Y155" s="36"/>
      <c r="Z155" s="34"/>
      <c r="AA155" s="34"/>
      <c r="AB155" s="34"/>
      <c r="AC155" s="34"/>
    </row>
    <row r="156" spans="1:30">
      <c r="A156" s="25" t="s">
        <v>550</v>
      </c>
      <c r="C156" s="13" t="s">
        <v>551</v>
      </c>
      <c r="D156" s="13"/>
      <c r="E156" s="13"/>
      <c r="G156" s="15"/>
      <c r="H156" s="15"/>
      <c r="I156" s="16"/>
      <c r="J156" s="13"/>
      <c r="K156" s="13"/>
      <c r="L156" s="17"/>
      <c r="M156" s="17"/>
      <c r="N156" s="17"/>
      <c r="O156" s="17"/>
      <c r="P156" s="1"/>
      <c r="Q156" s="18"/>
      <c r="R156" s="17"/>
      <c r="S156" s="4"/>
      <c r="T156" s="1"/>
      <c r="U156" s="2"/>
      <c r="V156" s="17"/>
      <c r="W156" s="17"/>
      <c r="X156" s="17"/>
      <c r="Y156" s="36"/>
      <c r="Z156" s="34"/>
      <c r="AA156" s="34"/>
      <c r="AB156" s="34"/>
      <c r="AC156" s="34"/>
      <c r="AD156" s="17"/>
    </row>
    <row r="157" spans="1:30">
      <c r="A157" s="1" t="s">
        <v>552</v>
      </c>
      <c r="B157" s="1"/>
      <c r="C157" s="28"/>
      <c r="D157" s="28"/>
      <c r="E157" s="13"/>
      <c r="F157" s="29"/>
      <c r="G157" s="15"/>
      <c r="H157" s="15"/>
      <c r="J157" s="13"/>
      <c r="O157" s="17"/>
      <c r="S157" s="4"/>
      <c r="T157" s="1"/>
      <c r="U157" s="2"/>
      <c r="V157" s="17"/>
      <c r="W157" s="17"/>
      <c r="X157" s="17"/>
      <c r="Y157" s="34"/>
      <c r="Z157" s="34"/>
      <c r="AA157" s="34"/>
      <c r="AB157" s="34"/>
      <c r="AC157" s="34"/>
      <c r="AD157" s="17"/>
    </row>
    <row r="158" spans="1:30">
      <c r="A158" s="25" t="s">
        <v>553</v>
      </c>
      <c r="C158" s="13" t="s">
        <v>554</v>
      </c>
      <c r="D158" s="13"/>
      <c r="E158" s="13"/>
      <c r="G158" s="15"/>
      <c r="H158" s="15"/>
      <c r="I158" s="16"/>
      <c r="J158" s="13"/>
      <c r="K158" s="13"/>
      <c r="L158" s="17"/>
      <c r="M158" s="17"/>
      <c r="N158" s="17"/>
      <c r="O158" s="17"/>
      <c r="P158" s="1"/>
      <c r="Q158" s="18"/>
      <c r="R158" s="17"/>
      <c r="S158" s="4"/>
      <c r="T158" s="3"/>
      <c r="U158" s="2"/>
      <c r="V158" s="17"/>
      <c r="W158" s="17"/>
      <c r="X158" s="17"/>
      <c r="Y158" s="36"/>
      <c r="Z158" s="34"/>
      <c r="AA158" s="34"/>
      <c r="AB158" s="34"/>
      <c r="AC158" s="34"/>
      <c r="AD158" s="17"/>
    </row>
    <row r="159" spans="1:30">
      <c r="O159" s="17"/>
    </row>
    <row r="160" spans="1:30">
      <c r="O160" s="17"/>
      <c r="S160" s="4"/>
      <c r="T160" s="3"/>
      <c r="U160" s="2"/>
    </row>
    <row r="161" spans="15:15">
      <c r="O161" s="17"/>
    </row>
  </sheetData>
  <sheetProtection sheet="1" objects="1" scenarios="1"/>
  <autoFilter ref="A1:AD158" xr:uid="{F4854281-CC4D-47B0-88FD-5344A720AB35}">
    <sortState xmlns:xlrd2="http://schemas.microsoft.com/office/spreadsheetml/2017/richdata2" ref="A2:AD158">
      <sortCondition ref="Y1:Y158"/>
    </sortState>
  </autoFilter>
  <conditionalFormatting sqref="G1:H1048576">
    <cfRule type="cellIs" dxfId="9" priority="8" operator="equal">
      <formula>"CON TERCEROS"</formula>
    </cfRule>
    <cfRule type="cellIs" dxfId="8" priority="9" operator="equal">
      <formula>"""CON TERCEROS"""</formula>
    </cfRule>
  </conditionalFormatting>
  <conditionalFormatting sqref="E1:E1048576">
    <cfRule type="cellIs" dxfId="7" priority="7" operator="equal">
      <formula>"Pendiente"</formula>
    </cfRule>
  </conditionalFormatting>
  <conditionalFormatting sqref="D1:D155 D159:D1048576">
    <cfRule type="cellIs" dxfId="6" priority="6" operator="equal">
      <formula>"Pendiente"</formula>
    </cfRule>
  </conditionalFormatting>
  <conditionalFormatting sqref="C159:C1048576 C1:C155">
    <cfRule type="duplicateValues" dxfId="5" priority="5"/>
  </conditionalFormatting>
  <conditionalFormatting sqref="F155 A149:D149 F1:F2 A1:C148 A150:C155 F97:F153 F4:F6 F8:F17 F19:F53 F55:F94 A159:C1048576 F159:F1048576">
    <cfRule type="duplicateValues" dxfId="4" priority="11"/>
  </conditionalFormatting>
  <conditionalFormatting sqref="I1:K1048576">
    <cfRule type="cellIs" dxfId="3" priority="4" operator="equal">
      <formula>"Sí"</formula>
    </cfRule>
  </conditionalFormatting>
  <conditionalFormatting sqref="I1:K1048576">
    <cfRule type="cellIs" dxfId="2" priority="3" operator="equal">
      <formula>"No"</formula>
    </cfRule>
  </conditionalFormatting>
  <conditionalFormatting sqref="O1:O1048576">
    <cfRule type="cellIs" dxfId="1" priority="2" operator="equal">
      <formula>"BAJA"</formula>
    </cfRule>
  </conditionalFormatting>
  <conditionalFormatting sqref="P1:Q1 P72:Q73 Q2:Q71 P156:Q1048576 Q74:Q155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2026-03-24T10:01:05Z</dcterms:modified>
  <cp:category/>
  <cp:contentStatus/>
</cp:coreProperties>
</file>